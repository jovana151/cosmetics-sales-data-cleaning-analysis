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/Users/jovanasafaezat/Documents/Business Operations &amp; Data Portfolio/3_projects/Cosmeatics_Brand_Data_Cleaning_Project/"/>
    </mc:Choice>
  </mc:AlternateContent>
  <xr:revisionPtr revIDLastSave="0" documentId="13_ncr:1_{A6A09979-0BC2-FF44-A904-88BEE5DE0732}" xr6:coauthVersionLast="47" xr6:coauthVersionMax="47" xr10:uidLastSave="{00000000-0000-0000-0000-000000000000}"/>
  <bookViews>
    <workbookView xWindow="0" yWindow="660" windowWidth="29400" windowHeight="17220" xr2:uid="{CD5EC08B-D49B-BE4E-8107-2102635A64C4}"/>
  </bookViews>
  <sheets>
    <sheet name="order_raw" sheetId="1" r:id="rId1"/>
    <sheet name="product_catalog" sheetId="2" r:id="rId2"/>
    <sheet name="returns_log" sheetId="3" r:id="rId3"/>
    <sheet name="data_quality_log" sheetId="4" r:id="rId4"/>
    <sheet name="calculations" sheetId="5" r:id="rId5"/>
    <sheet name="dashboard " sheetId="6" r:id="rId6"/>
  </sheets>
  <calcPr calcId="191029"/>
  <pivotCaches>
    <pivotCache cacheId="0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" i="1" l="1"/>
  <c r="K3" i="1"/>
  <c r="K4" i="1"/>
  <c r="K5" i="1"/>
  <c r="K6" i="1"/>
  <c r="K7" i="1"/>
  <c r="K8" i="1"/>
  <c r="K9" i="1"/>
  <c r="K10" i="1"/>
</calcChain>
</file>

<file path=xl/sharedStrings.xml><?xml version="1.0" encoding="utf-8"?>
<sst xmlns="http://schemas.openxmlformats.org/spreadsheetml/2006/main" count="175" uniqueCount="82">
  <si>
    <t>Order ID</t>
  </si>
  <si>
    <t>Product name</t>
  </si>
  <si>
    <t>Category</t>
  </si>
  <si>
    <t>Size</t>
  </si>
  <si>
    <t>Price</t>
  </si>
  <si>
    <t>Quantity</t>
  </si>
  <si>
    <t>Customer Name</t>
  </si>
  <si>
    <t>City</t>
  </si>
  <si>
    <t>Order Date</t>
  </si>
  <si>
    <t>Lip Gloss</t>
  </si>
  <si>
    <t>Makeup</t>
  </si>
  <si>
    <t>Small</t>
  </si>
  <si>
    <t>Sara Ahmed</t>
  </si>
  <si>
    <t>Cairo</t>
  </si>
  <si>
    <t>Face Cream Rose</t>
  </si>
  <si>
    <t>Skincare</t>
  </si>
  <si>
    <t>50ml</t>
  </si>
  <si>
    <t>Mona Ali</t>
  </si>
  <si>
    <t>Giza</t>
  </si>
  <si>
    <t>Hair Oil</t>
  </si>
  <si>
    <t>Haircare</t>
  </si>
  <si>
    <t>100ml</t>
  </si>
  <si>
    <t>Omar Khaled</t>
  </si>
  <si>
    <t>Body Lotion Ocean</t>
  </si>
  <si>
    <t>Body Care</t>
  </si>
  <si>
    <t>200ml</t>
  </si>
  <si>
    <t>Face Mask Clay</t>
  </si>
  <si>
    <t>Perfume Vanilla</t>
  </si>
  <si>
    <t>Fragrance</t>
  </si>
  <si>
    <t>Nour Hassan</t>
  </si>
  <si>
    <t>Lipstick Red</t>
  </si>
  <si>
    <t>Mai Adel</t>
  </si>
  <si>
    <t>Hair Serum</t>
  </si>
  <si>
    <t>75ml</t>
  </si>
  <si>
    <t>Body Scrub Coffee</t>
  </si>
  <si>
    <t>250ml</t>
  </si>
  <si>
    <t>Youssef Ali</t>
  </si>
  <si>
    <t>Alexandria</t>
  </si>
  <si>
    <t>Standard Size</t>
  </si>
  <si>
    <t>Base Price</t>
  </si>
  <si>
    <t>Face Wash</t>
  </si>
  <si>
    <t>150ml</t>
  </si>
  <si>
    <t>R1</t>
  </si>
  <si>
    <t>Damaged</t>
  </si>
  <si>
    <t>R2</t>
  </si>
  <si>
    <t>Wrong Price Entry</t>
  </si>
  <si>
    <t>R3</t>
  </si>
  <si>
    <t>Invalid Order</t>
  </si>
  <si>
    <t>Reason</t>
  </si>
  <si>
    <t xml:space="preserve">Return ID </t>
  </si>
  <si>
    <t>Transaction Type</t>
  </si>
  <si>
    <t>Sale</t>
  </si>
  <si>
    <t>Return</t>
  </si>
  <si>
    <t>Issue</t>
  </si>
  <si>
    <t>Action</t>
  </si>
  <si>
    <t>removed duplicate record</t>
  </si>
  <si>
    <t>Dupplicate order 2002</t>
  </si>
  <si>
    <t>Sales Amount</t>
  </si>
  <si>
    <t xml:space="preserve">unknown </t>
  </si>
  <si>
    <t>Return ID R3 linked to invalid order ID 9999</t>
  </si>
  <si>
    <t>Excluded from analysis</t>
  </si>
  <si>
    <t>Row Labels</t>
  </si>
  <si>
    <t>Grand Total</t>
  </si>
  <si>
    <t>Sum of Sales Amount</t>
  </si>
  <si>
    <t>Sum of Sales Amount2</t>
  </si>
  <si>
    <t>Feb</t>
  </si>
  <si>
    <t>01-Feb</t>
  </si>
  <si>
    <t>02-Feb</t>
  </si>
  <si>
    <t>03-Feb</t>
  </si>
  <si>
    <t>04-Feb</t>
  </si>
  <si>
    <t>05-Feb</t>
  </si>
  <si>
    <t>06-Feb</t>
  </si>
  <si>
    <t>07-Feb</t>
  </si>
  <si>
    <t>May</t>
  </si>
  <si>
    <t>02-May</t>
  </si>
  <si>
    <t>Count of Order Date</t>
  </si>
  <si>
    <t>Total Gross Sales:</t>
  </si>
  <si>
    <t>Total Net Sales:</t>
  </si>
  <si>
    <t>Total Orders:</t>
  </si>
  <si>
    <t>Return Rate:</t>
  </si>
  <si>
    <t>2470$</t>
  </si>
  <si>
    <t>2170$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</si>
</sst>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14"/>
      <color theme="1"/>
      <name val="Aptos Narrow"/>
      <scheme val="minor"/>
    </font>
    <font>
      <b/>
      <sz val="14"/>
      <color theme="1"/>
      <name val="Aptos Narrow"/>
      <family val="2"/>
      <scheme val="minor"/>
    </font>
    <font>
      <b/>
      <sz val="18"/>
      <color theme="1"/>
      <name val="Aptos Narrow"/>
      <scheme val="minor"/>
    </font>
    <font>
      <sz val="16"/>
      <color theme="1"/>
      <name val="Aptos Narrow (Body)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14" fontId="1" fillId="3" borderId="1" xfId="0" applyNumberFormat="1" applyFont="1" applyFill="1" applyBorder="1" applyAlignment="1">
      <alignment horizontal="center"/>
    </xf>
    <xf numFmtId="49" fontId="1" fillId="3" borderId="1" xfId="0" applyNumberFormat="1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0" borderId="1" xfId="0" pivotButton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10" fontId="5" fillId="0" borderId="0" xfId="0" applyNumberFormat="1" applyFont="1" applyAlignment="1">
      <alignment horizontal="center"/>
    </xf>
    <xf numFmtId="0" fontId="0" fillId="0" borderId="1" xfId="0" pivotButton="1" applyBorder="1" applyAlignment="1">
      <alignment horizontal="center"/>
    </xf>
    <xf numFmtId="0" fontId="0" fillId="0" borderId="0" xfId="0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/>
    <xf numFmtId="0" fontId="5" fillId="0" borderId="1" xfId="0" applyFont="1" applyBorder="1" applyAlignment="1">
      <alignment horizontal="center"/>
    </xf>
    <xf numFmtId="10" fontId="5" fillId="0" borderId="1" xfId="0" applyNumberFormat="1" applyFont="1" applyBorder="1" applyAlignment="1">
      <alignment horizontal="center"/>
    </xf>
  </cellXfs>
  <cellStyles count="1">
    <cellStyle name="Normal" xfId="0" builtinId="0"/>
  </cellStyles>
  <dxfs count="82"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16"/>
      </font>
    </dxf>
    <dxf>
      <font>
        <sz val="16"/>
      </font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font>
        <sz val="14"/>
      </font>
    </dxf>
    <dxf>
      <font>
        <sz val="14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[Cosmetics_Sales_Cleaned_Dataset_&amp;_Dashboard.xlsx]calculations!PivotTable5</c:name>
    <c:fmtId val="0"/>
  </c:pivotSource>
  <c:chart>
    <c:autoTitleDeleted val="0"/>
    <c:pivotFmts>
      <c:pivotFmt>
        <c:idx val="0"/>
        <c:spPr>
          <a:gradFill rotWithShape="1">
            <a:gsLst>
              <a:gs pos="0">
                <a:schemeClr val="accent4">
                  <a:satMod val="103000"/>
                  <a:lumMod val="102000"/>
                  <a:tint val="94000"/>
                </a:schemeClr>
              </a:gs>
              <a:gs pos="50000">
                <a:schemeClr val="accent4"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E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4">
                  <a:satMod val="103000"/>
                  <a:lumMod val="102000"/>
                  <a:tint val="94000"/>
                </a:schemeClr>
              </a:gs>
              <a:gs pos="50000">
                <a:schemeClr val="accent4"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E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calculations!$O$3</c:f>
              <c:strCache>
                <c:ptCount val="1"/>
                <c:pt idx="0">
                  <c:v>Sum of Sales Amount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hade val="76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hade val="76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shade val="76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calculations!$N$4:$N$12</c:f>
              <c:strCache>
                <c:ptCount val="8"/>
                <c:pt idx="0">
                  <c:v>Perfume Vanilla</c:v>
                </c:pt>
                <c:pt idx="1">
                  <c:v>Hair Serum</c:v>
                </c:pt>
                <c:pt idx="2">
                  <c:v>Face Mask Clay</c:v>
                </c:pt>
                <c:pt idx="3">
                  <c:v>Body Scrub Coffee</c:v>
                </c:pt>
                <c:pt idx="4">
                  <c:v>Face Cream Rose</c:v>
                </c:pt>
                <c:pt idx="5">
                  <c:v>Lip Gloss</c:v>
                </c:pt>
                <c:pt idx="6">
                  <c:v>Hair Oil</c:v>
                </c:pt>
                <c:pt idx="7">
                  <c:v>Lipstick Red</c:v>
                </c:pt>
              </c:strCache>
            </c:strRef>
          </c:cat>
          <c:val>
            <c:numRef>
              <c:f>calculations!$O$4:$O$12</c:f>
              <c:numCache>
                <c:formatCode>General</c:formatCode>
                <c:ptCount val="8"/>
                <c:pt idx="0">
                  <c:v>550</c:v>
                </c:pt>
                <c:pt idx="1">
                  <c:v>440</c:v>
                </c:pt>
                <c:pt idx="2">
                  <c:v>360</c:v>
                </c:pt>
                <c:pt idx="3">
                  <c:v>280</c:v>
                </c:pt>
                <c:pt idx="4">
                  <c:v>250</c:v>
                </c:pt>
                <c:pt idx="5">
                  <c:v>240</c:v>
                </c:pt>
                <c:pt idx="6">
                  <c:v>200</c:v>
                </c:pt>
                <c:pt idx="7">
                  <c:v>150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41-DB4F-B9A6-0B7FAFB0A259}"/>
            </c:ext>
          </c:extLst>
        </c:ser>
        <c:ser>
          <c:idx val="1"/>
          <c:order val="1"/>
          <c:tx>
            <c:strRef>
              <c:f>calculations!$P$3</c:f>
              <c:strCache>
                <c:ptCount val="1"/>
                <c:pt idx="0">
                  <c:v>Sum of Sales Amount2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tint val="77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tint val="77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tint val="77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calculations!$N$4:$N$12</c:f>
              <c:strCache>
                <c:ptCount val="8"/>
                <c:pt idx="0">
                  <c:v>Perfume Vanilla</c:v>
                </c:pt>
                <c:pt idx="1">
                  <c:v>Hair Serum</c:v>
                </c:pt>
                <c:pt idx="2">
                  <c:v>Face Mask Clay</c:v>
                </c:pt>
                <c:pt idx="3">
                  <c:v>Body Scrub Coffee</c:v>
                </c:pt>
                <c:pt idx="4">
                  <c:v>Face Cream Rose</c:v>
                </c:pt>
                <c:pt idx="5">
                  <c:v>Lip Gloss</c:v>
                </c:pt>
                <c:pt idx="6">
                  <c:v>Hair Oil</c:v>
                </c:pt>
                <c:pt idx="7">
                  <c:v>Lipstick Red</c:v>
                </c:pt>
              </c:strCache>
            </c:strRef>
          </c:cat>
          <c:val>
            <c:numRef>
              <c:f>calculations!$P$4:$P$12</c:f>
              <c:numCache>
                <c:formatCode>General</c:formatCode>
                <c:ptCount val="8"/>
                <c:pt idx="0">
                  <c:v>550</c:v>
                </c:pt>
                <c:pt idx="1">
                  <c:v>440</c:v>
                </c:pt>
                <c:pt idx="2">
                  <c:v>360</c:v>
                </c:pt>
                <c:pt idx="3">
                  <c:v>280</c:v>
                </c:pt>
                <c:pt idx="4">
                  <c:v>250</c:v>
                </c:pt>
                <c:pt idx="5">
                  <c:v>240</c:v>
                </c:pt>
                <c:pt idx="6">
                  <c:v>200</c:v>
                </c:pt>
                <c:pt idx="7">
                  <c:v>150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41-DB4F-B9A6-0B7FAFB0A2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551659712"/>
        <c:axId val="1456583808"/>
      </c:barChart>
      <c:catAx>
        <c:axId val="1551659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EG"/>
          </a:p>
        </c:txPr>
        <c:crossAx val="1456583808"/>
        <c:crosses val="autoZero"/>
        <c:auto val="1"/>
        <c:lblAlgn val="ctr"/>
        <c:lblOffset val="100"/>
        <c:noMultiLvlLbl val="0"/>
      </c:catAx>
      <c:valAx>
        <c:axId val="1456583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EG"/>
          </a:p>
        </c:txPr>
        <c:crossAx val="1551659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EG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E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[Cosmetics_Sales_Cleaned_Dataset_&amp;_Dashboard.xlsx]calculations!PivotTable8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ln w="3175">
                <a:noFill/>
                <a:prstDash val="solid"/>
              </a:ln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EG"/>
        </a:p>
      </c:txPr>
    </c:title>
    <c:autoTitleDeleted val="0"/>
    <c:pivotFmts>
      <c:pivotFmt>
        <c:idx val="0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ln w="3175">
                    <a:noFill/>
                    <a:prstDash val="solid"/>
                  </a:ln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EG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ln w="3175">
                    <a:noFill/>
                    <a:prstDash val="solid"/>
                  </a:ln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EG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4">
              <a:shade val="53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4">
              <a:shade val="76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4">
              <a:tint val="77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4">
              <a:tint val="54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4">
              <a:shade val="53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4">
              <a:shade val="76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4">
              <a:tint val="77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4">
              <a:tint val="54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calculations!$G$8</c:f>
              <c:strCache>
                <c:ptCount val="1"/>
                <c:pt idx="0">
                  <c:v>Sum of Sales Amount</c:v>
                </c:pt>
              </c:strCache>
            </c:strRef>
          </c:tx>
          <c:dPt>
            <c:idx val="0"/>
            <c:bubble3D val="0"/>
            <c:spPr>
              <a:solidFill>
                <a:schemeClr val="accent4">
                  <a:shade val="53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775-D746-8227-022778A1C747}"/>
              </c:ext>
            </c:extLst>
          </c:dPt>
          <c:dPt>
            <c:idx val="1"/>
            <c:bubble3D val="0"/>
            <c:spPr>
              <a:solidFill>
                <a:schemeClr val="accent4">
                  <a:shade val="7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775-D746-8227-022778A1C747}"/>
              </c:ext>
            </c:extLst>
          </c:dPt>
          <c:dPt>
            <c:idx val="2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775-D746-8227-022778A1C747}"/>
              </c:ext>
            </c:extLst>
          </c:dPt>
          <c:dPt>
            <c:idx val="3"/>
            <c:bubble3D val="0"/>
            <c:spPr>
              <a:solidFill>
                <a:schemeClr val="accent4">
                  <a:tint val="77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C775-D746-8227-022778A1C747}"/>
              </c:ext>
            </c:extLst>
          </c:dPt>
          <c:dPt>
            <c:idx val="4"/>
            <c:bubble3D val="0"/>
            <c:spPr>
              <a:solidFill>
                <a:schemeClr val="accent4">
                  <a:tint val="54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C775-D746-8227-022778A1C74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ln w="3175">
                      <a:noFill/>
                      <a:prstDash val="solid"/>
                    </a:ln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EG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calculations!$F$9:$F$14</c:f>
              <c:strCache>
                <c:ptCount val="5"/>
                <c:pt idx="0">
                  <c:v>Body Care</c:v>
                </c:pt>
                <c:pt idx="1">
                  <c:v>Fragrance</c:v>
                </c:pt>
                <c:pt idx="2">
                  <c:v>Haircare</c:v>
                </c:pt>
                <c:pt idx="3">
                  <c:v>Makeup</c:v>
                </c:pt>
                <c:pt idx="4">
                  <c:v>Skincare</c:v>
                </c:pt>
              </c:strCache>
            </c:strRef>
          </c:cat>
          <c:val>
            <c:numRef>
              <c:f>calculations!$G$9:$G$14</c:f>
              <c:numCache>
                <c:formatCode>General</c:formatCode>
                <c:ptCount val="5"/>
                <c:pt idx="0">
                  <c:v>280</c:v>
                </c:pt>
                <c:pt idx="1">
                  <c:v>550</c:v>
                </c:pt>
                <c:pt idx="2">
                  <c:v>640</c:v>
                </c:pt>
                <c:pt idx="3">
                  <c:v>390</c:v>
                </c:pt>
                <c:pt idx="4">
                  <c:v>610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77-BF47-A8AB-0F7E9A384DC3}"/>
            </c:ext>
          </c:extLst>
        </c:ser>
        <c:ser>
          <c:idx val="1"/>
          <c:order val="1"/>
          <c:tx>
            <c:strRef>
              <c:f>calculations!$H$8</c:f>
              <c:strCache>
                <c:ptCount val="1"/>
                <c:pt idx="0">
                  <c:v>Sum of Sales Amount2</c:v>
                </c:pt>
              </c:strCache>
            </c:strRef>
          </c:tx>
          <c:dPt>
            <c:idx val="0"/>
            <c:bubble3D val="0"/>
            <c:spPr>
              <a:solidFill>
                <a:schemeClr val="accent4">
                  <a:shade val="53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C775-D746-8227-022778A1C747}"/>
              </c:ext>
            </c:extLst>
          </c:dPt>
          <c:dPt>
            <c:idx val="1"/>
            <c:bubble3D val="0"/>
            <c:spPr>
              <a:solidFill>
                <a:schemeClr val="accent4">
                  <a:shade val="7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C775-D746-8227-022778A1C747}"/>
              </c:ext>
            </c:extLst>
          </c:dPt>
          <c:dPt>
            <c:idx val="2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C775-D746-8227-022778A1C747}"/>
              </c:ext>
            </c:extLst>
          </c:dPt>
          <c:dPt>
            <c:idx val="3"/>
            <c:bubble3D val="0"/>
            <c:spPr>
              <a:solidFill>
                <a:schemeClr val="accent4">
                  <a:tint val="77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C775-D746-8227-022778A1C747}"/>
              </c:ext>
            </c:extLst>
          </c:dPt>
          <c:dPt>
            <c:idx val="4"/>
            <c:bubble3D val="0"/>
            <c:spPr>
              <a:solidFill>
                <a:schemeClr val="accent4">
                  <a:tint val="54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C775-D746-8227-022778A1C74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ln w="3175">
                      <a:noFill/>
                      <a:prstDash val="solid"/>
                    </a:ln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EG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calculations!$F$9:$F$14</c:f>
              <c:strCache>
                <c:ptCount val="5"/>
                <c:pt idx="0">
                  <c:v>Body Care</c:v>
                </c:pt>
                <c:pt idx="1">
                  <c:v>Fragrance</c:v>
                </c:pt>
                <c:pt idx="2">
                  <c:v>Haircare</c:v>
                </c:pt>
                <c:pt idx="3">
                  <c:v>Makeup</c:v>
                </c:pt>
                <c:pt idx="4">
                  <c:v>Skincare</c:v>
                </c:pt>
              </c:strCache>
            </c:strRef>
          </c:cat>
          <c:val>
            <c:numRef>
              <c:f>calculations!$H$9:$H$14</c:f>
              <c:numCache>
                <c:formatCode>General</c:formatCode>
                <c:ptCount val="5"/>
                <c:pt idx="0">
                  <c:v>280</c:v>
                </c:pt>
                <c:pt idx="1">
                  <c:v>550</c:v>
                </c:pt>
                <c:pt idx="2">
                  <c:v>640</c:v>
                </c:pt>
                <c:pt idx="3">
                  <c:v>390</c:v>
                </c:pt>
                <c:pt idx="4">
                  <c:v>610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377-BF47-A8AB-0F7E9A384DC3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n w="3175">
            <a:noFill/>
            <a:prstDash val="solid"/>
          </a:ln>
        </a:defRPr>
      </a:pPr>
      <a:endParaRPr lang="en-E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[Cosmetics_Sales_Cleaned_Dataset_&amp;_Dashboard.xlsx]calculations!PivotTable5</c:name>
    <c:fmtId val="4"/>
  </c:pivotSource>
  <c:chart>
    <c:autoTitleDeleted val="0"/>
    <c:pivotFmts>
      <c:pivotFmt>
        <c:idx val="0"/>
        <c:spPr>
          <a:gradFill rotWithShape="1">
            <a:gsLst>
              <a:gs pos="0">
                <a:schemeClr val="accent4">
                  <a:satMod val="103000"/>
                  <a:lumMod val="102000"/>
                  <a:tint val="94000"/>
                </a:schemeClr>
              </a:gs>
              <a:gs pos="50000">
                <a:schemeClr val="accent4"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shade val="76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hade val="76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shade val="76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E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4">
                  <a:satMod val="103000"/>
                  <a:lumMod val="102000"/>
                  <a:tint val="94000"/>
                </a:schemeClr>
              </a:gs>
              <a:gs pos="50000">
                <a:schemeClr val="accent4"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tint val="77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tint val="77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tint val="77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E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4">
                  <a:satMod val="103000"/>
                  <a:lumMod val="102000"/>
                  <a:tint val="94000"/>
                </a:schemeClr>
              </a:gs>
              <a:gs pos="50000">
                <a:schemeClr val="accent4"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E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4">
                  <a:satMod val="103000"/>
                  <a:lumMod val="102000"/>
                  <a:tint val="94000"/>
                </a:schemeClr>
              </a:gs>
              <a:gs pos="50000">
                <a:schemeClr val="accent4"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E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4">
                  <a:satMod val="103000"/>
                  <a:lumMod val="102000"/>
                  <a:tint val="94000"/>
                </a:schemeClr>
              </a:gs>
              <a:gs pos="50000">
                <a:schemeClr val="accent4"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E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4">
                  <a:satMod val="103000"/>
                  <a:lumMod val="102000"/>
                  <a:tint val="94000"/>
                </a:schemeClr>
              </a:gs>
              <a:gs pos="50000">
                <a:schemeClr val="accent4"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E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5.5946285576781683E-2"/>
          <c:y val="3.216299575456294E-2"/>
          <c:w val="0.75257245929264271"/>
          <c:h val="0.8653267333529884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calculations!$O$3</c:f>
              <c:strCache>
                <c:ptCount val="1"/>
                <c:pt idx="0">
                  <c:v>Sum of Sales Amount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hade val="76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hade val="76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shade val="76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calculations!$N$4:$N$12</c:f>
              <c:strCache>
                <c:ptCount val="8"/>
                <c:pt idx="0">
                  <c:v>Perfume Vanilla</c:v>
                </c:pt>
                <c:pt idx="1">
                  <c:v>Hair Serum</c:v>
                </c:pt>
                <c:pt idx="2">
                  <c:v>Face Mask Clay</c:v>
                </c:pt>
                <c:pt idx="3">
                  <c:v>Body Scrub Coffee</c:v>
                </c:pt>
                <c:pt idx="4">
                  <c:v>Face Cream Rose</c:v>
                </c:pt>
                <c:pt idx="5">
                  <c:v>Lip Gloss</c:v>
                </c:pt>
                <c:pt idx="6">
                  <c:v>Hair Oil</c:v>
                </c:pt>
                <c:pt idx="7">
                  <c:v>Lipstick Red</c:v>
                </c:pt>
              </c:strCache>
            </c:strRef>
          </c:cat>
          <c:val>
            <c:numRef>
              <c:f>calculations!$O$4:$O$12</c:f>
              <c:numCache>
                <c:formatCode>General</c:formatCode>
                <c:ptCount val="8"/>
                <c:pt idx="0">
                  <c:v>550</c:v>
                </c:pt>
                <c:pt idx="1">
                  <c:v>440</c:v>
                </c:pt>
                <c:pt idx="2">
                  <c:v>360</c:v>
                </c:pt>
                <c:pt idx="3">
                  <c:v>280</c:v>
                </c:pt>
                <c:pt idx="4">
                  <c:v>250</c:v>
                </c:pt>
                <c:pt idx="5">
                  <c:v>240</c:v>
                </c:pt>
                <c:pt idx="6">
                  <c:v>200</c:v>
                </c:pt>
                <c:pt idx="7">
                  <c:v>150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EC-FC4F-A4A2-9B4DC9A37EDF}"/>
            </c:ext>
          </c:extLst>
        </c:ser>
        <c:ser>
          <c:idx val="1"/>
          <c:order val="1"/>
          <c:tx>
            <c:strRef>
              <c:f>calculations!$P$3</c:f>
              <c:strCache>
                <c:ptCount val="1"/>
                <c:pt idx="0">
                  <c:v>Sum of Sales Amount2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tint val="77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tint val="77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tint val="77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calculations!$N$4:$N$12</c:f>
              <c:strCache>
                <c:ptCount val="8"/>
                <c:pt idx="0">
                  <c:v>Perfume Vanilla</c:v>
                </c:pt>
                <c:pt idx="1">
                  <c:v>Hair Serum</c:v>
                </c:pt>
                <c:pt idx="2">
                  <c:v>Face Mask Clay</c:v>
                </c:pt>
                <c:pt idx="3">
                  <c:v>Body Scrub Coffee</c:v>
                </c:pt>
                <c:pt idx="4">
                  <c:v>Face Cream Rose</c:v>
                </c:pt>
                <c:pt idx="5">
                  <c:v>Lip Gloss</c:v>
                </c:pt>
                <c:pt idx="6">
                  <c:v>Hair Oil</c:v>
                </c:pt>
                <c:pt idx="7">
                  <c:v>Lipstick Red</c:v>
                </c:pt>
              </c:strCache>
            </c:strRef>
          </c:cat>
          <c:val>
            <c:numRef>
              <c:f>calculations!$P$4:$P$12</c:f>
              <c:numCache>
                <c:formatCode>General</c:formatCode>
                <c:ptCount val="8"/>
                <c:pt idx="0">
                  <c:v>550</c:v>
                </c:pt>
                <c:pt idx="1">
                  <c:v>440</c:v>
                </c:pt>
                <c:pt idx="2">
                  <c:v>360</c:v>
                </c:pt>
                <c:pt idx="3">
                  <c:v>280</c:v>
                </c:pt>
                <c:pt idx="4">
                  <c:v>250</c:v>
                </c:pt>
                <c:pt idx="5">
                  <c:v>240</c:v>
                </c:pt>
                <c:pt idx="6">
                  <c:v>200</c:v>
                </c:pt>
                <c:pt idx="7">
                  <c:v>150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DEC-FC4F-A4A2-9B4DC9A37E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551659712"/>
        <c:axId val="1456583808"/>
      </c:barChart>
      <c:catAx>
        <c:axId val="1551659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EG"/>
          </a:p>
        </c:txPr>
        <c:crossAx val="1456583808"/>
        <c:crosses val="autoZero"/>
        <c:auto val="1"/>
        <c:lblAlgn val="ctr"/>
        <c:lblOffset val="100"/>
        <c:noMultiLvlLbl val="0"/>
      </c:catAx>
      <c:valAx>
        <c:axId val="1456583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EG"/>
          </a:p>
        </c:txPr>
        <c:crossAx val="1551659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EG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E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[Cosmetics_Sales_Cleaned_Dataset_&amp;_Dashboard.xlsx]calculations!PivotTable8</c:name>
    <c:fmtId val="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ln w="3175">
                <a:noFill/>
                <a:prstDash val="solid"/>
              </a:ln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EG"/>
        </a:p>
      </c:txPr>
    </c:title>
    <c:autoTitleDeleted val="0"/>
    <c:pivotFmts>
      <c:pivotFmt>
        <c:idx val="0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ln w="3175">
                    <a:noFill/>
                    <a:prstDash val="solid"/>
                  </a:ln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EG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ln w="3175">
                    <a:noFill/>
                    <a:prstDash val="solid"/>
                  </a:ln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EG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ln w="3175">
                    <a:noFill/>
                    <a:prstDash val="solid"/>
                  </a:ln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EG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4">
              <a:shade val="53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4">
              <a:shade val="76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4">
              <a:tint val="77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4">
              <a:tint val="54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ln w="3175">
                    <a:noFill/>
                    <a:prstDash val="solid"/>
                  </a:ln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EG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4">
              <a:shade val="53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4">
              <a:shade val="76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4">
              <a:tint val="77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4">
              <a:tint val="54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ln w="3175">
                    <a:noFill/>
                    <a:prstDash val="solid"/>
                  </a:ln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EG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4">
              <a:shade val="53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4">
              <a:shade val="76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4">
              <a:tint val="77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4">
              <a:tint val="54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ln w="3175">
                    <a:noFill/>
                    <a:prstDash val="solid"/>
                  </a:ln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EG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4">
              <a:shade val="53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chemeClr val="accent4">
              <a:shade val="76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chemeClr val="accent4">
              <a:tint val="77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5"/>
        <c:spPr>
          <a:solidFill>
            <a:schemeClr val="accent4">
              <a:tint val="54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calculations!$G$8</c:f>
              <c:strCache>
                <c:ptCount val="1"/>
                <c:pt idx="0">
                  <c:v>Sum of Sales Amount</c:v>
                </c:pt>
              </c:strCache>
            </c:strRef>
          </c:tx>
          <c:dPt>
            <c:idx val="0"/>
            <c:bubble3D val="0"/>
            <c:spPr>
              <a:solidFill>
                <a:schemeClr val="accent4">
                  <a:shade val="53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58B-6941-B42B-6890DB665281}"/>
              </c:ext>
            </c:extLst>
          </c:dPt>
          <c:dPt>
            <c:idx val="1"/>
            <c:bubble3D val="0"/>
            <c:spPr>
              <a:solidFill>
                <a:schemeClr val="accent4">
                  <a:shade val="7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58B-6941-B42B-6890DB665281}"/>
              </c:ext>
            </c:extLst>
          </c:dPt>
          <c:dPt>
            <c:idx val="2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58B-6941-B42B-6890DB665281}"/>
              </c:ext>
            </c:extLst>
          </c:dPt>
          <c:dPt>
            <c:idx val="3"/>
            <c:bubble3D val="0"/>
            <c:spPr>
              <a:solidFill>
                <a:schemeClr val="accent4">
                  <a:tint val="77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158B-6941-B42B-6890DB665281}"/>
              </c:ext>
            </c:extLst>
          </c:dPt>
          <c:dPt>
            <c:idx val="4"/>
            <c:bubble3D val="0"/>
            <c:spPr>
              <a:solidFill>
                <a:schemeClr val="accent4">
                  <a:tint val="54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158B-6941-B42B-6890DB66528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ln w="3175">
                      <a:noFill/>
                      <a:prstDash val="solid"/>
                    </a:ln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EG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calculations!$F$9:$F$14</c:f>
              <c:strCache>
                <c:ptCount val="5"/>
                <c:pt idx="0">
                  <c:v>Body Care</c:v>
                </c:pt>
                <c:pt idx="1">
                  <c:v>Fragrance</c:v>
                </c:pt>
                <c:pt idx="2">
                  <c:v>Haircare</c:v>
                </c:pt>
                <c:pt idx="3">
                  <c:v>Makeup</c:v>
                </c:pt>
                <c:pt idx="4">
                  <c:v>Skincare</c:v>
                </c:pt>
              </c:strCache>
            </c:strRef>
          </c:cat>
          <c:val>
            <c:numRef>
              <c:f>calculations!$G$9:$G$14</c:f>
              <c:numCache>
                <c:formatCode>General</c:formatCode>
                <c:ptCount val="5"/>
                <c:pt idx="0">
                  <c:v>280</c:v>
                </c:pt>
                <c:pt idx="1">
                  <c:v>550</c:v>
                </c:pt>
                <c:pt idx="2">
                  <c:v>640</c:v>
                </c:pt>
                <c:pt idx="3">
                  <c:v>390</c:v>
                </c:pt>
                <c:pt idx="4">
                  <c:v>610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158B-6941-B42B-6890DB665281}"/>
            </c:ext>
          </c:extLst>
        </c:ser>
        <c:ser>
          <c:idx val="1"/>
          <c:order val="1"/>
          <c:tx>
            <c:strRef>
              <c:f>calculations!$H$8</c:f>
              <c:strCache>
                <c:ptCount val="1"/>
                <c:pt idx="0">
                  <c:v>Sum of Sales Amount2</c:v>
                </c:pt>
              </c:strCache>
            </c:strRef>
          </c:tx>
          <c:dPt>
            <c:idx val="0"/>
            <c:bubble3D val="0"/>
            <c:spPr>
              <a:solidFill>
                <a:schemeClr val="accent4">
                  <a:shade val="53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158B-6941-B42B-6890DB665281}"/>
              </c:ext>
            </c:extLst>
          </c:dPt>
          <c:dPt>
            <c:idx val="1"/>
            <c:bubble3D val="0"/>
            <c:spPr>
              <a:solidFill>
                <a:schemeClr val="accent4">
                  <a:shade val="7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E-158B-6941-B42B-6890DB665281}"/>
              </c:ext>
            </c:extLst>
          </c:dPt>
          <c:dPt>
            <c:idx val="2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0-158B-6941-B42B-6890DB665281}"/>
              </c:ext>
            </c:extLst>
          </c:dPt>
          <c:dPt>
            <c:idx val="3"/>
            <c:bubble3D val="0"/>
            <c:spPr>
              <a:solidFill>
                <a:schemeClr val="accent4">
                  <a:tint val="77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2-158B-6941-B42B-6890DB665281}"/>
              </c:ext>
            </c:extLst>
          </c:dPt>
          <c:dPt>
            <c:idx val="4"/>
            <c:bubble3D val="0"/>
            <c:spPr>
              <a:solidFill>
                <a:schemeClr val="accent4">
                  <a:tint val="54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4-158B-6941-B42B-6890DB66528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ln w="3175">
                      <a:noFill/>
                      <a:prstDash val="solid"/>
                    </a:ln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EG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calculations!$F$9:$F$14</c:f>
              <c:strCache>
                <c:ptCount val="5"/>
                <c:pt idx="0">
                  <c:v>Body Care</c:v>
                </c:pt>
                <c:pt idx="1">
                  <c:v>Fragrance</c:v>
                </c:pt>
                <c:pt idx="2">
                  <c:v>Haircare</c:v>
                </c:pt>
                <c:pt idx="3">
                  <c:v>Makeup</c:v>
                </c:pt>
                <c:pt idx="4">
                  <c:v>Skincare</c:v>
                </c:pt>
              </c:strCache>
            </c:strRef>
          </c:cat>
          <c:val>
            <c:numRef>
              <c:f>calculations!$H$9:$H$14</c:f>
              <c:numCache>
                <c:formatCode>General</c:formatCode>
                <c:ptCount val="5"/>
                <c:pt idx="0">
                  <c:v>280</c:v>
                </c:pt>
                <c:pt idx="1">
                  <c:v>550</c:v>
                </c:pt>
                <c:pt idx="2">
                  <c:v>640</c:v>
                </c:pt>
                <c:pt idx="3">
                  <c:v>390</c:v>
                </c:pt>
                <c:pt idx="4">
                  <c:v>610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158B-6941-B42B-6890DB665281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n w="3175">
            <a:noFill/>
            <a:prstDash val="solid"/>
          </a:ln>
        </a:defRPr>
      </a:pPr>
      <a:endParaRPr lang="en-E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2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3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4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style1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16933</xdr:colOff>
      <xdr:row>15</xdr:row>
      <xdr:rowOff>16934</xdr:rowOff>
    </xdr:from>
    <xdr:to>
      <xdr:col>18</xdr:col>
      <xdr:colOff>16933</xdr:colOff>
      <xdr:row>40</xdr:row>
      <xdr:rowOff>50799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B8A5633-D5DA-DD82-1FBB-735A31F380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643466</xdr:colOff>
      <xdr:row>15</xdr:row>
      <xdr:rowOff>16934</xdr:rowOff>
    </xdr:from>
    <xdr:to>
      <xdr:col>10</xdr:col>
      <xdr:colOff>0</xdr:colOff>
      <xdr:row>40</xdr:row>
      <xdr:rowOff>16934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9571591-2AD6-6903-BD7A-B0673E9F7C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330200</xdr:colOff>
      <xdr:row>4</xdr:row>
      <xdr:rowOff>12700</xdr:rowOff>
    </xdr:from>
    <xdr:to>
      <xdr:col>18</xdr:col>
      <xdr:colOff>381000</xdr:colOff>
      <xdr:row>31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5B5F24E-8D22-2045-A4FD-E715C16A1C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4</xdr:row>
      <xdr:rowOff>0</xdr:rowOff>
    </xdr:from>
    <xdr:to>
      <xdr:col>9</xdr:col>
      <xdr:colOff>309034</xdr:colOff>
      <xdr:row>31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B015057-A2FE-B24C-BE8F-B0BB3F654A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vana safa ezat" refreshedDate="46210.580725347223" createdVersion="8" refreshedVersion="8" minRefreshableVersion="3" recordCount="9" xr:uid="{D4F94FB9-BDDA-7B43-8B95-C50FC0B8D06E}">
  <cacheSource type="worksheet">
    <worksheetSource ref="A1:K10" sheet="order_raw"/>
  </cacheSource>
  <cacheFields count="13">
    <cacheField name="Order ID" numFmtId="0">
      <sharedItems containsSemiMixedTypes="0" containsString="0" containsNumber="1" containsInteger="1" minValue="2002" maxValue="2010"/>
    </cacheField>
    <cacheField name="Product name" numFmtId="0">
      <sharedItems count="9">
        <s v="Lip Gloss"/>
        <s v="Face Cream Rose"/>
        <s v="Hair Oil"/>
        <s v="Body Lotion Ocean"/>
        <s v="Face Mask Clay"/>
        <s v="Perfume Vanilla"/>
        <s v="Lipstick Red"/>
        <s v="Hair Serum"/>
        <s v="Body Scrub Coffee"/>
      </sharedItems>
    </cacheField>
    <cacheField name="Category" numFmtId="0">
      <sharedItems count="5">
        <s v="Makeup"/>
        <s v="Skincare"/>
        <s v="Haircare"/>
        <s v="Body Care"/>
        <s v="Fragrance"/>
      </sharedItems>
    </cacheField>
    <cacheField name="Size" numFmtId="0">
      <sharedItems/>
    </cacheField>
    <cacheField name="Price" numFmtId="0">
      <sharedItems containsSemiMixedTypes="0" containsString="0" containsNumber="1" containsInteger="1" minValue="120" maxValue="550"/>
    </cacheField>
    <cacheField name="Quantity" numFmtId="0">
      <sharedItems containsSemiMixedTypes="0" containsString="0" containsNumber="1" containsInteger="1" minValue="-1" maxValue="2"/>
    </cacheField>
    <cacheField name="Customer Name" numFmtId="0">
      <sharedItems/>
    </cacheField>
    <cacheField name="City" numFmtId="0">
      <sharedItems/>
    </cacheField>
    <cacheField name="Order Date" numFmtId="14">
      <sharedItems containsSemiMixedTypes="0" containsNonDate="0" containsDate="1" containsString="0" minDate="2026-02-01T00:00:00" maxDate="2026-05-03T00:00:00" count="8">
        <d v="2026-02-01T00:00:00"/>
        <d v="2026-02-02T00:00:00"/>
        <d v="2026-02-03T00:00:00"/>
        <d v="2026-02-04T00:00:00"/>
        <d v="2026-05-02T00:00:00"/>
        <d v="2026-02-05T00:00:00"/>
        <d v="2026-02-06T00:00:00"/>
        <d v="2026-02-07T00:00:00"/>
      </sharedItems>
      <fieldGroup par="12"/>
    </cacheField>
    <cacheField name="Transaction Type" numFmtId="49">
      <sharedItems count="2">
        <s v="Sale"/>
        <s v="Return"/>
      </sharedItems>
    </cacheField>
    <cacheField name="Sales Amount" numFmtId="0">
      <sharedItems containsSemiMixedTypes="0" containsString="0" containsNumber="1" containsInteger="1" minValue="-300" maxValue="550"/>
    </cacheField>
    <cacheField name="Days (Order Date)" numFmtId="0" databaseField="0">
      <fieldGroup base="8">
        <rangePr groupBy="days" startDate="2026-02-01T00:00:00" endDate="2026-05-03T00:00:00"/>
        <groupItems count="368">
          <s v="&lt;01/02/2026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03/05/2026"/>
        </groupItems>
      </fieldGroup>
    </cacheField>
    <cacheField name="Months (Order Date)" numFmtId="0" databaseField="0">
      <fieldGroup base="8">
        <rangePr groupBy="months" startDate="2026-02-01T00:00:00" endDate="2026-05-03T00:00:00"/>
        <groupItems count="14">
          <s v="&lt;01/02/202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3/05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">
  <r>
    <n v="2002"/>
    <x v="0"/>
    <x v="0"/>
    <s v="Small"/>
    <n v="120"/>
    <n v="2"/>
    <s v="Sara Ahmed"/>
    <s v="Cairo"/>
    <x v="0"/>
    <x v="0"/>
    <n v="240"/>
  </r>
  <r>
    <n v="2003"/>
    <x v="1"/>
    <x v="1"/>
    <s v="50ml"/>
    <n v="250"/>
    <n v="1"/>
    <s v="Mona Ali"/>
    <s v="Giza"/>
    <x v="1"/>
    <x v="0"/>
    <n v="250"/>
  </r>
  <r>
    <n v="2004"/>
    <x v="2"/>
    <x v="2"/>
    <s v="100ml"/>
    <n v="200"/>
    <n v="1"/>
    <s v="Omar Khaled"/>
    <s v="Cairo"/>
    <x v="2"/>
    <x v="0"/>
    <n v="200"/>
  </r>
  <r>
    <n v="2005"/>
    <x v="3"/>
    <x v="3"/>
    <s v="200ml"/>
    <n v="300"/>
    <n v="-1"/>
    <s v="Sara Ahmed"/>
    <s v="Cairo"/>
    <x v="2"/>
    <x v="1"/>
    <n v="-300"/>
  </r>
  <r>
    <n v="2006"/>
    <x v="4"/>
    <x v="1"/>
    <s v="100ml"/>
    <n v="180"/>
    <n v="2"/>
    <s v="unknown "/>
    <s v="Cairo"/>
    <x v="3"/>
    <x v="0"/>
    <n v="360"/>
  </r>
  <r>
    <n v="2007"/>
    <x v="5"/>
    <x v="4"/>
    <s v="50ml"/>
    <n v="550"/>
    <n v="1"/>
    <s v="Nour Hassan"/>
    <s v="Alex"/>
    <x v="4"/>
    <x v="0"/>
    <n v="550"/>
  </r>
  <r>
    <n v="2008"/>
    <x v="6"/>
    <x v="0"/>
    <s v="Small"/>
    <n v="150"/>
    <n v="1"/>
    <s v="Mai Adel"/>
    <s v="Giza"/>
    <x v="5"/>
    <x v="0"/>
    <n v="150"/>
  </r>
  <r>
    <n v="2009"/>
    <x v="7"/>
    <x v="2"/>
    <s v="75ml"/>
    <n v="220"/>
    <n v="2"/>
    <s v="Omar Khaled"/>
    <s v="Cairo"/>
    <x v="6"/>
    <x v="0"/>
    <n v="440"/>
  </r>
  <r>
    <n v="2010"/>
    <x v="8"/>
    <x v="3"/>
    <s v="250ml"/>
    <n v="280"/>
    <n v="1"/>
    <s v="Youssef Ali"/>
    <s v="Alexandria"/>
    <x v="7"/>
    <x v="0"/>
    <n v="28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430D65-440A-F74E-AEEF-374736A7959D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N3:P12" firstHeaderRow="0" firstDataRow="1" firstDataCol="1" rowPageCount="1" colPageCount="1"/>
  <pivotFields count="13">
    <pivotField showAll="0"/>
    <pivotField axis="axisRow" showAll="0" sortType="descending">
      <items count="10">
        <item x="3"/>
        <item x="8"/>
        <item x="1"/>
        <item x="4"/>
        <item x="2"/>
        <item x="7"/>
        <item x="0"/>
        <item x="6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numFmtId="14" showAll="0">
      <items count="9">
        <item x="0"/>
        <item x="1"/>
        <item x="2"/>
        <item x="3"/>
        <item x="5"/>
        <item x="6"/>
        <item x="7"/>
        <item x="4"/>
        <item t="default"/>
      </items>
    </pivotField>
    <pivotField axis="axisPage" multipleItemSelectionAllowed="1" showAll="0">
      <items count="3">
        <item h="1" x="1"/>
        <item x="0"/>
        <item t="default"/>
      </items>
    </pivotField>
    <pivotField dataField="1"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1"/>
  </rowFields>
  <rowItems count="9">
    <i>
      <x v="8"/>
    </i>
    <i>
      <x v="5"/>
    </i>
    <i>
      <x v="3"/>
    </i>
    <i>
      <x v="1"/>
    </i>
    <i>
      <x v="2"/>
    </i>
    <i>
      <x v="6"/>
    </i>
    <i>
      <x v="4"/>
    </i>
    <i>
      <x v="7"/>
    </i>
    <i t="grand">
      <x/>
    </i>
  </rowItems>
  <colFields count="1">
    <field x="-2"/>
  </colFields>
  <colItems count="2">
    <i>
      <x/>
    </i>
    <i i="1">
      <x v="1"/>
    </i>
  </colItems>
  <pageFields count="1">
    <pageField fld="9" hier="-1"/>
  </pageFields>
  <dataFields count="2">
    <dataField name="Sum of Sales Amount" fld="10" baseField="0" baseItem="0"/>
    <dataField name="Sum of Sales Amount2" fld="10" baseField="0" baseItem="0"/>
  </dataFields>
  <formats count="18">
    <format dxfId="17">
      <pivotArea type="all" dataOnly="0" outline="0" fieldPosition="0"/>
    </format>
    <format dxfId="16">
      <pivotArea outline="0" collapsedLevelsAreSubtotals="1" fieldPosition="0"/>
    </format>
    <format dxfId="15">
      <pivotArea field="1" type="button" dataOnly="0" labelOnly="1" outline="0" axis="axisRow" fieldPosition="0"/>
    </format>
    <format dxfId="14">
      <pivotArea dataOnly="0" labelOnly="1" fieldPosition="0">
        <references count="1">
          <reference field="1" count="8">
            <x v="1"/>
            <x v="2"/>
            <x v="3"/>
            <x v="4"/>
            <x v="5"/>
            <x v="6"/>
            <x v="7"/>
            <x v="8"/>
          </reference>
        </references>
      </pivotArea>
    </format>
    <format dxfId="13">
      <pivotArea dataOnly="0" labelOnly="1" grandRow="1" outline="0" fieldPosition="0"/>
    </format>
    <format dxfId="1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1">
      <pivotArea type="all" dataOnly="0" outline="0" fieldPosition="0"/>
    </format>
    <format dxfId="10">
      <pivotArea outline="0" collapsedLevelsAreSubtotals="1" fieldPosition="0"/>
    </format>
    <format dxfId="9">
      <pivotArea field="1" type="button" dataOnly="0" labelOnly="1" outline="0" axis="axisRow" fieldPosition="0"/>
    </format>
    <format dxfId="8">
      <pivotArea dataOnly="0" labelOnly="1" fieldPosition="0">
        <references count="1">
          <reference field="1" count="8">
            <x v="1"/>
            <x v="2"/>
            <x v="3"/>
            <x v="4"/>
            <x v="5"/>
            <x v="6"/>
            <x v="7"/>
            <x v="8"/>
          </reference>
        </references>
      </pivotArea>
    </format>
    <format dxfId="7">
      <pivotArea dataOnly="0" labelOnly="1" grandRow="1" outline="0" fieldPosition="0"/>
    </format>
    <format dxfId="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5">
      <pivotArea type="all" dataOnly="0" outline="0" fieldPosition="0"/>
    </format>
    <format dxfId="4">
      <pivotArea outline="0" collapsedLevelsAreSubtotals="1" fieldPosition="0"/>
    </format>
    <format dxfId="3">
      <pivotArea field="1" type="button" dataOnly="0" labelOnly="1" outline="0" axis="axisRow" fieldPosition="0"/>
    </format>
    <format dxfId="2">
      <pivotArea dataOnly="0" labelOnly="1" fieldPosition="0">
        <references count="1">
          <reference field="1" count="8">
            <x v="1"/>
            <x v="2"/>
            <x v="3"/>
            <x v="4"/>
            <x v="5"/>
            <x v="6"/>
            <x v="7"/>
            <x v="8"/>
          </reference>
        </references>
      </pivotArea>
    </format>
    <format dxfId="1">
      <pivotArea dataOnly="0" labelOnly="1" grandRow="1" outline="0" fieldPosition="0"/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FD0001-3019-7D4D-B273-957D66FBC3C3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A1:D29" firstHeaderRow="0" firstDataRow="1" firstDataCol="1"/>
  <pivotFields count="13"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numFmtId="14" showAll="0">
      <items count="9">
        <item x="0"/>
        <item x="1"/>
        <item x="2"/>
        <item x="3"/>
        <item x="5"/>
        <item x="6"/>
        <item x="7"/>
        <item x="4"/>
        <item t="default"/>
      </items>
    </pivotField>
    <pivotField axis="axisRow" showAll="0">
      <items count="3">
        <item x="1"/>
        <item x="0"/>
        <item t="default"/>
      </items>
    </pivotField>
    <pivotField dataField="1" showAll="0"/>
    <pivotField axis="axisRow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4">
    <field x="12"/>
    <field x="11"/>
    <field x="8"/>
    <field x="9"/>
  </rowFields>
  <rowItems count="28">
    <i>
      <x v="2"/>
    </i>
    <i r="1">
      <x v="32"/>
    </i>
    <i r="2">
      <x/>
    </i>
    <i r="3">
      <x v="1"/>
    </i>
    <i r="1">
      <x v="33"/>
    </i>
    <i r="2">
      <x v="1"/>
    </i>
    <i r="3">
      <x v="1"/>
    </i>
    <i r="1">
      <x v="34"/>
    </i>
    <i r="2">
      <x v="2"/>
    </i>
    <i r="3">
      <x/>
    </i>
    <i r="3">
      <x v="1"/>
    </i>
    <i r="1">
      <x v="35"/>
    </i>
    <i r="2">
      <x v="3"/>
    </i>
    <i r="3">
      <x v="1"/>
    </i>
    <i r="1">
      <x v="36"/>
    </i>
    <i r="2">
      <x v="4"/>
    </i>
    <i r="3">
      <x v="1"/>
    </i>
    <i r="1">
      <x v="37"/>
    </i>
    <i r="2">
      <x v="5"/>
    </i>
    <i r="3">
      <x v="1"/>
    </i>
    <i r="1">
      <x v="38"/>
    </i>
    <i r="2">
      <x v="6"/>
    </i>
    <i r="3">
      <x v="1"/>
    </i>
    <i>
      <x v="5"/>
    </i>
    <i r="1">
      <x v="123"/>
    </i>
    <i r="2">
      <x v="7"/>
    </i>
    <i r="3"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Sales Amount" fld="10" baseField="0" baseItem="0"/>
    <dataField name="Sum of Sales Amount2" fld="10" baseField="0" baseItem="0"/>
    <dataField name="Count of Order Date" fld="8" subtotal="count" baseField="0" baseItem="0"/>
  </dataFields>
  <formats count="52">
    <format dxfId="69">
      <pivotArea field="12" type="button" dataOnly="0" labelOnly="1" outline="0" axis="axisRow" fieldPosition="0"/>
    </format>
    <format dxfId="68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67">
      <pivotArea type="all" dataOnly="0" outline="0" fieldPosition="0"/>
    </format>
    <format dxfId="66">
      <pivotArea outline="0" collapsedLevelsAreSubtotals="1" fieldPosition="0"/>
    </format>
    <format dxfId="65">
      <pivotArea field="12" type="button" dataOnly="0" labelOnly="1" outline="0" axis="axisRow" fieldPosition="0"/>
    </format>
    <format dxfId="64">
      <pivotArea dataOnly="0" labelOnly="1" fieldPosition="0">
        <references count="1">
          <reference field="12" count="2">
            <x v="2"/>
            <x v="5"/>
          </reference>
        </references>
      </pivotArea>
    </format>
    <format dxfId="63">
      <pivotArea dataOnly="0" labelOnly="1" grandRow="1" outline="0" fieldPosition="0"/>
    </format>
    <format dxfId="62">
      <pivotArea dataOnly="0" labelOnly="1" fieldPosition="0">
        <references count="2">
          <reference field="11" count="7">
            <x v="32"/>
            <x v="33"/>
            <x v="34"/>
            <x v="35"/>
            <x v="36"/>
            <x v="37"/>
            <x v="38"/>
          </reference>
          <reference field="12" count="1" selected="0">
            <x v="2"/>
          </reference>
        </references>
      </pivotArea>
    </format>
    <format dxfId="61">
      <pivotArea dataOnly="0" labelOnly="1" fieldPosition="0">
        <references count="2">
          <reference field="11" count="1">
            <x v="123"/>
          </reference>
          <reference field="12" count="1" selected="0">
            <x v="5"/>
          </reference>
        </references>
      </pivotArea>
    </format>
    <format dxfId="60">
      <pivotArea dataOnly="0" labelOnly="1" fieldPosition="0">
        <references count="3">
          <reference field="8" count="1">
            <x v="0"/>
          </reference>
          <reference field="11" count="1" selected="0">
            <x v="32"/>
          </reference>
          <reference field="12" count="1" selected="0">
            <x v="2"/>
          </reference>
        </references>
      </pivotArea>
    </format>
    <format dxfId="59">
      <pivotArea dataOnly="0" labelOnly="1" fieldPosition="0">
        <references count="3">
          <reference field="8" count="1">
            <x v="1"/>
          </reference>
          <reference field="11" count="1" selected="0">
            <x v="33"/>
          </reference>
          <reference field="12" count="1" selected="0">
            <x v="2"/>
          </reference>
        </references>
      </pivotArea>
    </format>
    <format dxfId="58">
      <pivotArea dataOnly="0" labelOnly="1" fieldPosition="0">
        <references count="3">
          <reference field="8" count="1">
            <x v="2"/>
          </reference>
          <reference field="11" count="1" selected="0">
            <x v="34"/>
          </reference>
          <reference field="12" count="1" selected="0">
            <x v="2"/>
          </reference>
        </references>
      </pivotArea>
    </format>
    <format dxfId="57">
      <pivotArea dataOnly="0" labelOnly="1" fieldPosition="0">
        <references count="3">
          <reference field="8" count="1">
            <x v="3"/>
          </reference>
          <reference field="11" count="1" selected="0">
            <x v="35"/>
          </reference>
          <reference field="12" count="1" selected="0">
            <x v="2"/>
          </reference>
        </references>
      </pivotArea>
    </format>
    <format dxfId="56">
      <pivotArea dataOnly="0" labelOnly="1" fieldPosition="0">
        <references count="3">
          <reference field="8" count="1">
            <x v="4"/>
          </reference>
          <reference field="11" count="1" selected="0">
            <x v="36"/>
          </reference>
          <reference field="12" count="1" selected="0">
            <x v="2"/>
          </reference>
        </references>
      </pivotArea>
    </format>
    <format dxfId="55">
      <pivotArea dataOnly="0" labelOnly="1" fieldPosition="0">
        <references count="3">
          <reference field="8" count="1">
            <x v="5"/>
          </reference>
          <reference field="11" count="1" selected="0">
            <x v="37"/>
          </reference>
          <reference field="12" count="1" selected="0">
            <x v="2"/>
          </reference>
        </references>
      </pivotArea>
    </format>
    <format dxfId="54">
      <pivotArea dataOnly="0" labelOnly="1" fieldPosition="0">
        <references count="3">
          <reference field="8" count="1">
            <x v="6"/>
          </reference>
          <reference field="11" count="1" selected="0">
            <x v="38"/>
          </reference>
          <reference field="12" count="1" selected="0">
            <x v="2"/>
          </reference>
        </references>
      </pivotArea>
    </format>
    <format dxfId="53">
      <pivotArea dataOnly="0" labelOnly="1" fieldPosition="0">
        <references count="3">
          <reference field="8" count="1">
            <x v="7"/>
          </reference>
          <reference field="11" count="1" selected="0">
            <x v="123"/>
          </reference>
          <reference field="12" count="1" selected="0">
            <x v="5"/>
          </reference>
        </references>
      </pivotArea>
    </format>
    <format dxfId="52">
      <pivotArea dataOnly="0" labelOnly="1" fieldPosition="0">
        <references count="4">
          <reference field="8" count="1" selected="0">
            <x v="0"/>
          </reference>
          <reference field="9" count="1">
            <x v="1"/>
          </reference>
          <reference field="11" count="1" selected="0">
            <x v="32"/>
          </reference>
          <reference field="12" count="1" selected="0">
            <x v="2"/>
          </reference>
        </references>
      </pivotArea>
    </format>
    <format dxfId="51">
      <pivotArea dataOnly="0" labelOnly="1" fieldPosition="0">
        <references count="4">
          <reference field="8" count="1" selected="0">
            <x v="1"/>
          </reference>
          <reference field="9" count="1">
            <x v="1"/>
          </reference>
          <reference field="11" count="1" selected="0">
            <x v="33"/>
          </reference>
          <reference field="12" count="1" selected="0">
            <x v="2"/>
          </reference>
        </references>
      </pivotArea>
    </format>
    <format dxfId="50">
      <pivotArea dataOnly="0" labelOnly="1" fieldPosition="0">
        <references count="4">
          <reference field="8" count="1" selected="0">
            <x v="2"/>
          </reference>
          <reference field="9" count="0"/>
          <reference field="11" count="1" selected="0">
            <x v="34"/>
          </reference>
          <reference field="12" count="1" selected="0">
            <x v="2"/>
          </reference>
        </references>
      </pivotArea>
    </format>
    <format dxfId="49">
      <pivotArea dataOnly="0" labelOnly="1" fieldPosition="0">
        <references count="4">
          <reference field="8" count="1" selected="0">
            <x v="3"/>
          </reference>
          <reference field="9" count="1">
            <x v="1"/>
          </reference>
          <reference field="11" count="1" selected="0">
            <x v="35"/>
          </reference>
          <reference field="12" count="1" selected="0">
            <x v="2"/>
          </reference>
        </references>
      </pivotArea>
    </format>
    <format dxfId="48">
      <pivotArea dataOnly="0" labelOnly="1" fieldPosition="0">
        <references count="4">
          <reference field="8" count="1" selected="0">
            <x v="4"/>
          </reference>
          <reference field="9" count="1">
            <x v="1"/>
          </reference>
          <reference field="11" count="1" selected="0">
            <x v="36"/>
          </reference>
          <reference field="12" count="1" selected="0">
            <x v="2"/>
          </reference>
        </references>
      </pivotArea>
    </format>
    <format dxfId="47">
      <pivotArea dataOnly="0" labelOnly="1" fieldPosition="0">
        <references count="4">
          <reference field="8" count="1" selected="0">
            <x v="5"/>
          </reference>
          <reference field="9" count="1">
            <x v="1"/>
          </reference>
          <reference field="11" count="1" selected="0">
            <x v="37"/>
          </reference>
          <reference field="12" count="1" selected="0">
            <x v="2"/>
          </reference>
        </references>
      </pivotArea>
    </format>
    <format dxfId="46">
      <pivotArea dataOnly="0" labelOnly="1" fieldPosition="0">
        <references count="4">
          <reference field="8" count="1" selected="0">
            <x v="6"/>
          </reference>
          <reference field="9" count="1">
            <x v="1"/>
          </reference>
          <reference field="11" count="1" selected="0">
            <x v="38"/>
          </reference>
          <reference field="12" count="1" selected="0">
            <x v="2"/>
          </reference>
        </references>
      </pivotArea>
    </format>
    <format dxfId="45">
      <pivotArea dataOnly="0" labelOnly="1" fieldPosition="0">
        <references count="4">
          <reference field="8" count="1" selected="0">
            <x v="7"/>
          </reference>
          <reference field="9" count="1">
            <x v="1"/>
          </reference>
          <reference field="11" count="1" selected="0">
            <x v="123"/>
          </reference>
          <reference field="12" count="1" selected="0">
            <x v="5"/>
          </reference>
        </references>
      </pivotArea>
    </format>
    <format dxfId="44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43">
      <pivotArea field="12" type="button" dataOnly="0" labelOnly="1" outline="0" axis="axisRow" fieldPosition="0"/>
    </format>
    <format dxfId="42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41">
      <pivotArea type="all" dataOnly="0" outline="0" fieldPosition="0"/>
    </format>
    <format dxfId="40">
      <pivotArea outline="0" collapsedLevelsAreSubtotals="1" fieldPosition="0"/>
    </format>
    <format dxfId="39">
      <pivotArea field="12" type="button" dataOnly="0" labelOnly="1" outline="0" axis="axisRow" fieldPosition="0"/>
    </format>
    <format dxfId="38">
      <pivotArea dataOnly="0" labelOnly="1" fieldPosition="0">
        <references count="1">
          <reference field="12" count="2">
            <x v="2"/>
            <x v="5"/>
          </reference>
        </references>
      </pivotArea>
    </format>
    <format dxfId="37">
      <pivotArea dataOnly="0" labelOnly="1" grandRow="1" outline="0" fieldPosition="0"/>
    </format>
    <format dxfId="36">
      <pivotArea dataOnly="0" labelOnly="1" fieldPosition="0">
        <references count="2">
          <reference field="11" count="7">
            <x v="32"/>
            <x v="33"/>
            <x v="34"/>
            <x v="35"/>
            <x v="36"/>
            <x v="37"/>
            <x v="38"/>
          </reference>
          <reference field="12" count="1" selected="0">
            <x v="2"/>
          </reference>
        </references>
      </pivotArea>
    </format>
    <format dxfId="35">
      <pivotArea dataOnly="0" labelOnly="1" fieldPosition="0">
        <references count="2">
          <reference field="11" count="1">
            <x v="123"/>
          </reference>
          <reference field="12" count="1" selected="0">
            <x v="5"/>
          </reference>
        </references>
      </pivotArea>
    </format>
    <format dxfId="34">
      <pivotArea dataOnly="0" labelOnly="1" fieldPosition="0">
        <references count="3">
          <reference field="8" count="1">
            <x v="0"/>
          </reference>
          <reference field="11" count="1" selected="0">
            <x v="32"/>
          </reference>
          <reference field="12" count="1" selected="0">
            <x v="2"/>
          </reference>
        </references>
      </pivotArea>
    </format>
    <format dxfId="33">
      <pivotArea dataOnly="0" labelOnly="1" fieldPosition="0">
        <references count="3">
          <reference field="8" count="1">
            <x v="1"/>
          </reference>
          <reference field="11" count="1" selected="0">
            <x v="33"/>
          </reference>
          <reference field="12" count="1" selected="0">
            <x v="2"/>
          </reference>
        </references>
      </pivotArea>
    </format>
    <format dxfId="32">
      <pivotArea dataOnly="0" labelOnly="1" fieldPosition="0">
        <references count="3">
          <reference field="8" count="1">
            <x v="2"/>
          </reference>
          <reference field="11" count="1" selected="0">
            <x v="34"/>
          </reference>
          <reference field="12" count="1" selected="0">
            <x v="2"/>
          </reference>
        </references>
      </pivotArea>
    </format>
    <format dxfId="31">
      <pivotArea dataOnly="0" labelOnly="1" fieldPosition="0">
        <references count="3">
          <reference field="8" count="1">
            <x v="3"/>
          </reference>
          <reference field="11" count="1" selected="0">
            <x v="35"/>
          </reference>
          <reference field="12" count="1" selected="0">
            <x v="2"/>
          </reference>
        </references>
      </pivotArea>
    </format>
    <format dxfId="30">
      <pivotArea dataOnly="0" labelOnly="1" fieldPosition="0">
        <references count="3">
          <reference field="8" count="1">
            <x v="4"/>
          </reference>
          <reference field="11" count="1" selected="0">
            <x v="36"/>
          </reference>
          <reference field="12" count="1" selected="0">
            <x v="2"/>
          </reference>
        </references>
      </pivotArea>
    </format>
    <format dxfId="29">
      <pivotArea dataOnly="0" labelOnly="1" fieldPosition="0">
        <references count="3">
          <reference field="8" count="1">
            <x v="5"/>
          </reference>
          <reference field="11" count="1" selected="0">
            <x v="37"/>
          </reference>
          <reference field="12" count="1" selected="0">
            <x v="2"/>
          </reference>
        </references>
      </pivotArea>
    </format>
    <format dxfId="28">
      <pivotArea dataOnly="0" labelOnly="1" fieldPosition="0">
        <references count="3">
          <reference field="8" count="1">
            <x v="6"/>
          </reference>
          <reference field="11" count="1" selected="0">
            <x v="38"/>
          </reference>
          <reference field="12" count="1" selected="0">
            <x v="2"/>
          </reference>
        </references>
      </pivotArea>
    </format>
    <format dxfId="27">
      <pivotArea dataOnly="0" labelOnly="1" fieldPosition="0">
        <references count="3">
          <reference field="8" count="1">
            <x v="7"/>
          </reference>
          <reference field="11" count="1" selected="0">
            <x v="123"/>
          </reference>
          <reference field="12" count="1" selected="0">
            <x v="5"/>
          </reference>
        </references>
      </pivotArea>
    </format>
    <format dxfId="26">
      <pivotArea dataOnly="0" labelOnly="1" fieldPosition="0">
        <references count="4">
          <reference field="8" count="1" selected="0">
            <x v="0"/>
          </reference>
          <reference field="9" count="1">
            <x v="1"/>
          </reference>
          <reference field="11" count="1" selected="0">
            <x v="32"/>
          </reference>
          <reference field="12" count="1" selected="0">
            <x v="2"/>
          </reference>
        </references>
      </pivotArea>
    </format>
    <format dxfId="25">
      <pivotArea dataOnly="0" labelOnly="1" fieldPosition="0">
        <references count="4">
          <reference field="8" count="1" selected="0">
            <x v="1"/>
          </reference>
          <reference field="9" count="1">
            <x v="1"/>
          </reference>
          <reference field="11" count="1" selected="0">
            <x v="33"/>
          </reference>
          <reference field="12" count="1" selected="0">
            <x v="2"/>
          </reference>
        </references>
      </pivotArea>
    </format>
    <format dxfId="24">
      <pivotArea dataOnly="0" labelOnly="1" fieldPosition="0">
        <references count="4">
          <reference field="8" count="1" selected="0">
            <x v="2"/>
          </reference>
          <reference field="9" count="0"/>
          <reference field="11" count="1" selected="0">
            <x v="34"/>
          </reference>
          <reference field="12" count="1" selected="0">
            <x v="2"/>
          </reference>
        </references>
      </pivotArea>
    </format>
    <format dxfId="23">
      <pivotArea dataOnly="0" labelOnly="1" fieldPosition="0">
        <references count="4">
          <reference field="8" count="1" selected="0">
            <x v="3"/>
          </reference>
          <reference field="9" count="1">
            <x v="1"/>
          </reference>
          <reference field="11" count="1" selected="0">
            <x v="35"/>
          </reference>
          <reference field="12" count="1" selected="0">
            <x v="2"/>
          </reference>
        </references>
      </pivotArea>
    </format>
    <format dxfId="22">
      <pivotArea dataOnly="0" labelOnly="1" fieldPosition="0">
        <references count="4">
          <reference field="8" count="1" selected="0">
            <x v="4"/>
          </reference>
          <reference field="9" count="1">
            <x v="1"/>
          </reference>
          <reference field="11" count="1" selected="0">
            <x v="36"/>
          </reference>
          <reference field="12" count="1" selected="0">
            <x v="2"/>
          </reference>
        </references>
      </pivotArea>
    </format>
    <format dxfId="21">
      <pivotArea dataOnly="0" labelOnly="1" fieldPosition="0">
        <references count="4">
          <reference field="8" count="1" selected="0">
            <x v="5"/>
          </reference>
          <reference field="9" count="1">
            <x v="1"/>
          </reference>
          <reference field="11" count="1" selected="0">
            <x v="37"/>
          </reference>
          <reference field="12" count="1" selected="0">
            <x v="2"/>
          </reference>
        </references>
      </pivotArea>
    </format>
    <format dxfId="20">
      <pivotArea dataOnly="0" labelOnly="1" fieldPosition="0">
        <references count="4">
          <reference field="8" count="1" selected="0">
            <x v="6"/>
          </reference>
          <reference field="9" count="1">
            <x v="1"/>
          </reference>
          <reference field="11" count="1" selected="0">
            <x v="38"/>
          </reference>
          <reference field="12" count="1" selected="0">
            <x v="2"/>
          </reference>
        </references>
      </pivotArea>
    </format>
    <format dxfId="19">
      <pivotArea dataOnly="0" labelOnly="1" fieldPosition="0">
        <references count="4">
          <reference field="8" count="1" selected="0">
            <x v="7"/>
          </reference>
          <reference field="9" count="1">
            <x v="1"/>
          </reference>
          <reference field="11" count="1" selected="0">
            <x v="123"/>
          </reference>
          <reference field="12" count="1" selected="0">
            <x v="5"/>
          </reference>
        </references>
      </pivotArea>
    </format>
    <format dxfId="18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chartFormats count="3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>
      <pivotArea type="data" outline="0" fieldPosition="0">
        <references count="5">
          <reference field="4294967294" count="1" selected="0">
            <x v="0"/>
          </reference>
          <reference field="8" count="1" selected="0">
            <x v="0"/>
          </reference>
          <reference field="9" count="1" selected="0">
            <x v="1"/>
          </reference>
          <reference field="11" count="1" selected="0">
            <x v="32"/>
          </reference>
          <reference field="12" count="1" selected="0">
            <x v="2"/>
          </reference>
        </references>
      </pivotArea>
    </chartFormat>
    <chartFormat chart="10" format="3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35">
      <pivotArea type="data" outline="0" fieldPosition="0">
        <references count="5">
          <reference field="4294967294" count="1" selected="0">
            <x v="0"/>
          </reference>
          <reference field="8" count="1" selected="0">
            <x v="0"/>
          </reference>
          <reference field="9" count="1" selected="0">
            <x v="1"/>
          </reference>
          <reference field="11" count="1" selected="0">
            <x v="32"/>
          </reference>
          <reference field="12" count="1" selected="0">
            <x v="2"/>
          </reference>
        </references>
      </pivotArea>
    </chartFormat>
    <chartFormat chart="10" format="36">
      <pivotArea type="data" outline="0" fieldPosition="0">
        <references count="5">
          <reference field="4294967294" count="1" selected="0">
            <x v="0"/>
          </reference>
          <reference field="8" count="1" selected="0">
            <x v="1"/>
          </reference>
          <reference field="9" count="1" selected="0">
            <x v="1"/>
          </reference>
          <reference field="11" count="1" selected="0">
            <x v="33"/>
          </reference>
          <reference field="12" count="1" selected="0">
            <x v="2"/>
          </reference>
        </references>
      </pivotArea>
    </chartFormat>
    <chartFormat chart="10" format="37">
      <pivotArea type="data" outline="0" fieldPosition="0">
        <references count="5">
          <reference field="4294967294" count="1" selected="0">
            <x v="0"/>
          </reference>
          <reference field="8" count="1" selected="0">
            <x v="2"/>
          </reference>
          <reference field="9" count="1" selected="0">
            <x v="0"/>
          </reference>
          <reference field="11" count="1" selected="0">
            <x v="34"/>
          </reference>
          <reference field="12" count="1" selected="0">
            <x v="2"/>
          </reference>
        </references>
      </pivotArea>
    </chartFormat>
    <chartFormat chart="10" format="38">
      <pivotArea type="data" outline="0" fieldPosition="0">
        <references count="5">
          <reference field="4294967294" count="1" selected="0">
            <x v="0"/>
          </reference>
          <reference field="8" count="1" selected="0">
            <x v="2"/>
          </reference>
          <reference field="9" count="1" selected="0">
            <x v="1"/>
          </reference>
          <reference field="11" count="1" selected="0">
            <x v="34"/>
          </reference>
          <reference field="12" count="1" selected="0">
            <x v="2"/>
          </reference>
        </references>
      </pivotArea>
    </chartFormat>
    <chartFormat chart="10" format="39">
      <pivotArea type="data" outline="0" fieldPosition="0">
        <references count="5">
          <reference field="4294967294" count="1" selected="0">
            <x v="0"/>
          </reference>
          <reference field="8" count="1" selected="0">
            <x v="3"/>
          </reference>
          <reference field="9" count="1" selected="0">
            <x v="1"/>
          </reference>
          <reference field="11" count="1" selected="0">
            <x v="35"/>
          </reference>
          <reference field="12" count="1" selected="0">
            <x v="2"/>
          </reference>
        </references>
      </pivotArea>
    </chartFormat>
    <chartFormat chart="10" format="40">
      <pivotArea type="data" outline="0" fieldPosition="0">
        <references count="5">
          <reference field="4294967294" count="1" selected="0">
            <x v="0"/>
          </reference>
          <reference field="8" count="1" selected="0">
            <x v="4"/>
          </reference>
          <reference field="9" count="1" selected="0">
            <x v="1"/>
          </reference>
          <reference field="11" count="1" selected="0">
            <x v="36"/>
          </reference>
          <reference field="12" count="1" selected="0">
            <x v="2"/>
          </reference>
        </references>
      </pivotArea>
    </chartFormat>
    <chartFormat chart="10" format="41">
      <pivotArea type="data" outline="0" fieldPosition="0">
        <references count="5">
          <reference field="4294967294" count="1" selected="0">
            <x v="0"/>
          </reference>
          <reference field="8" count="1" selected="0">
            <x v="5"/>
          </reference>
          <reference field="9" count="1" selected="0">
            <x v="1"/>
          </reference>
          <reference field="11" count="1" selected="0">
            <x v="37"/>
          </reference>
          <reference field="12" count="1" selected="0">
            <x v="2"/>
          </reference>
        </references>
      </pivotArea>
    </chartFormat>
    <chartFormat chart="10" format="42">
      <pivotArea type="data" outline="0" fieldPosition="0">
        <references count="5">
          <reference field="4294967294" count="1" selected="0">
            <x v="0"/>
          </reference>
          <reference field="8" count="1" selected="0">
            <x v="6"/>
          </reference>
          <reference field="9" count="1" selected="0">
            <x v="1"/>
          </reference>
          <reference field="11" count="1" selected="0">
            <x v="38"/>
          </reference>
          <reference field="12" count="1" selected="0">
            <x v="2"/>
          </reference>
        </references>
      </pivotArea>
    </chartFormat>
    <chartFormat chart="10" format="43">
      <pivotArea type="data" outline="0" fieldPosition="0">
        <references count="5">
          <reference field="4294967294" count="1" selected="0">
            <x v="0"/>
          </reference>
          <reference field="8" count="1" selected="0">
            <x v="7"/>
          </reference>
          <reference field="9" count="1" selected="0">
            <x v="1"/>
          </reference>
          <reference field="11" count="1" selected="0">
            <x v="123"/>
          </reference>
          <reference field="12" count="1" selected="0">
            <x v="5"/>
          </reference>
        </references>
      </pivotArea>
    </chartFormat>
    <chartFormat chart="10" format="4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45">
      <pivotArea type="data" outline="0" fieldPosition="0">
        <references count="5">
          <reference field="4294967294" count="1" selected="0">
            <x v="1"/>
          </reference>
          <reference field="8" count="1" selected="0">
            <x v="0"/>
          </reference>
          <reference field="9" count="1" selected="0">
            <x v="1"/>
          </reference>
          <reference field="11" count="1" selected="0">
            <x v="32"/>
          </reference>
          <reference field="12" count="1" selected="0">
            <x v="2"/>
          </reference>
        </references>
      </pivotArea>
    </chartFormat>
    <chartFormat chart="10" format="46">
      <pivotArea type="data" outline="0" fieldPosition="0">
        <references count="5">
          <reference field="4294967294" count="1" selected="0">
            <x v="1"/>
          </reference>
          <reference field="8" count="1" selected="0">
            <x v="1"/>
          </reference>
          <reference field="9" count="1" selected="0">
            <x v="1"/>
          </reference>
          <reference field="11" count="1" selected="0">
            <x v="33"/>
          </reference>
          <reference field="12" count="1" selected="0">
            <x v="2"/>
          </reference>
        </references>
      </pivotArea>
    </chartFormat>
    <chartFormat chart="10" format="47">
      <pivotArea type="data" outline="0" fieldPosition="0">
        <references count="5">
          <reference field="4294967294" count="1" selected="0">
            <x v="1"/>
          </reference>
          <reference field="8" count="1" selected="0">
            <x v="2"/>
          </reference>
          <reference field="9" count="1" selected="0">
            <x v="0"/>
          </reference>
          <reference field="11" count="1" selected="0">
            <x v="34"/>
          </reference>
          <reference field="12" count="1" selected="0">
            <x v="2"/>
          </reference>
        </references>
      </pivotArea>
    </chartFormat>
    <chartFormat chart="10" format="48">
      <pivotArea type="data" outline="0" fieldPosition="0">
        <references count="5">
          <reference field="4294967294" count="1" selected="0">
            <x v="1"/>
          </reference>
          <reference field="8" count="1" selected="0">
            <x v="2"/>
          </reference>
          <reference field="9" count="1" selected="0">
            <x v="1"/>
          </reference>
          <reference field="11" count="1" selected="0">
            <x v="34"/>
          </reference>
          <reference field="12" count="1" selected="0">
            <x v="2"/>
          </reference>
        </references>
      </pivotArea>
    </chartFormat>
    <chartFormat chart="10" format="49">
      <pivotArea type="data" outline="0" fieldPosition="0">
        <references count="5">
          <reference field="4294967294" count="1" selected="0">
            <x v="1"/>
          </reference>
          <reference field="8" count="1" selected="0">
            <x v="3"/>
          </reference>
          <reference field="9" count="1" selected="0">
            <x v="1"/>
          </reference>
          <reference field="11" count="1" selected="0">
            <x v="35"/>
          </reference>
          <reference field="12" count="1" selected="0">
            <x v="2"/>
          </reference>
        </references>
      </pivotArea>
    </chartFormat>
    <chartFormat chart="10" format="50">
      <pivotArea type="data" outline="0" fieldPosition="0">
        <references count="5">
          <reference field="4294967294" count="1" selected="0">
            <x v="1"/>
          </reference>
          <reference field="8" count="1" selected="0">
            <x v="4"/>
          </reference>
          <reference field="9" count="1" selected="0">
            <x v="1"/>
          </reference>
          <reference field="11" count="1" selected="0">
            <x v="36"/>
          </reference>
          <reference field="12" count="1" selected="0">
            <x v="2"/>
          </reference>
        </references>
      </pivotArea>
    </chartFormat>
    <chartFormat chart="10" format="51">
      <pivotArea type="data" outline="0" fieldPosition="0">
        <references count="5">
          <reference field="4294967294" count="1" selected="0">
            <x v="1"/>
          </reference>
          <reference field="8" count="1" selected="0">
            <x v="5"/>
          </reference>
          <reference field="9" count="1" selected="0">
            <x v="1"/>
          </reference>
          <reference field="11" count="1" selected="0">
            <x v="37"/>
          </reference>
          <reference field="12" count="1" selected="0">
            <x v="2"/>
          </reference>
        </references>
      </pivotArea>
    </chartFormat>
    <chartFormat chart="10" format="52">
      <pivotArea type="data" outline="0" fieldPosition="0">
        <references count="5">
          <reference field="4294967294" count="1" selected="0">
            <x v="1"/>
          </reference>
          <reference field="8" count="1" selected="0">
            <x v="6"/>
          </reference>
          <reference field="9" count="1" selected="0">
            <x v="1"/>
          </reference>
          <reference field="11" count="1" selected="0">
            <x v="38"/>
          </reference>
          <reference field="12" count="1" selected="0">
            <x v="2"/>
          </reference>
        </references>
      </pivotArea>
    </chartFormat>
    <chartFormat chart="10" format="53">
      <pivotArea type="data" outline="0" fieldPosition="0">
        <references count="5">
          <reference field="4294967294" count="1" selected="0">
            <x v="1"/>
          </reference>
          <reference field="8" count="1" selected="0">
            <x v="7"/>
          </reference>
          <reference field="9" count="1" selected="0">
            <x v="1"/>
          </reference>
          <reference field="11" count="1" selected="0">
            <x v="123"/>
          </reference>
          <reference field="12" count="1" selected="0">
            <x v="5"/>
          </reference>
        </references>
      </pivotArea>
    </chartFormat>
    <chartFormat chart="10" format="54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0" format="55">
      <pivotArea type="data" outline="0" fieldPosition="0">
        <references count="5">
          <reference field="4294967294" count="1" selected="0">
            <x v="2"/>
          </reference>
          <reference field="8" count="1" selected="0">
            <x v="0"/>
          </reference>
          <reference field="9" count="1" selected="0">
            <x v="1"/>
          </reference>
          <reference field="11" count="1" selected="0">
            <x v="32"/>
          </reference>
          <reference field="12" count="1" selected="0">
            <x v="2"/>
          </reference>
        </references>
      </pivotArea>
    </chartFormat>
    <chartFormat chart="10" format="56">
      <pivotArea type="data" outline="0" fieldPosition="0">
        <references count="5">
          <reference field="4294967294" count="1" selected="0">
            <x v="2"/>
          </reference>
          <reference field="8" count="1" selected="0">
            <x v="1"/>
          </reference>
          <reference field="9" count="1" selected="0">
            <x v="1"/>
          </reference>
          <reference field="11" count="1" selected="0">
            <x v="33"/>
          </reference>
          <reference field="12" count="1" selected="0">
            <x v="2"/>
          </reference>
        </references>
      </pivotArea>
    </chartFormat>
    <chartFormat chart="10" format="57">
      <pivotArea type="data" outline="0" fieldPosition="0">
        <references count="5">
          <reference field="4294967294" count="1" selected="0">
            <x v="2"/>
          </reference>
          <reference field="8" count="1" selected="0">
            <x v="2"/>
          </reference>
          <reference field="9" count="1" selected="0">
            <x v="0"/>
          </reference>
          <reference field="11" count="1" selected="0">
            <x v="34"/>
          </reference>
          <reference field="12" count="1" selected="0">
            <x v="2"/>
          </reference>
        </references>
      </pivotArea>
    </chartFormat>
    <chartFormat chart="10" format="58">
      <pivotArea type="data" outline="0" fieldPosition="0">
        <references count="5">
          <reference field="4294967294" count="1" selected="0">
            <x v="2"/>
          </reference>
          <reference field="8" count="1" selected="0">
            <x v="2"/>
          </reference>
          <reference field="9" count="1" selected="0">
            <x v="1"/>
          </reference>
          <reference field="11" count="1" selected="0">
            <x v="34"/>
          </reference>
          <reference field="12" count="1" selected="0">
            <x v="2"/>
          </reference>
        </references>
      </pivotArea>
    </chartFormat>
    <chartFormat chart="10" format="59">
      <pivotArea type="data" outline="0" fieldPosition="0">
        <references count="5">
          <reference field="4294967294" count="1" selected="0">
            <x v="2"/>
          </reference>
          <reference field="8" count="1" selected="0">
            <x v="3"/>
          </reference>
          <reference field="9" count="1" selected="0">
            <x v="1"/>
          </reference>
          <reference field="11" count="1" selected="0">
            <x v="35"/>
          </reference>
          <reference field="12" count="1" selected="0">
            <x v="2"/>
          </reference>
        </references>
      </pivotArea>
    </chartFormat>
    <chartFormat chart="10" format="60">
      <pivotArea type="data" outline="0" fieldPosition="0">
        <references count="5">
          <reference field="4294967294" count="1" selected="0">
            <x v="2"/>
          </reference>
          <reference field="8" count="1" selected="0">
            <x v="4"/>
          </reference>
          <reference field="9" count="1" selected="0">
            <x v="1"/>
          </reference>
          <reference field="11" count="1" selected="0">
            <x v="36"/>
          </reference>
          <reference field="12" count="1" selected="0">
            <x v="2"/>
          </reference>
        </references>
      </pivotArea>
    </chartFormat>
    <chartFormat chart="10" format="61">
      <pivotArea type="data" outline="0" fieldPosition="0">
        <references count="5">
          <reference field="4294967294" count="1" selected="0">
            <x v="2"/>
          </reference>
          <reference field="8" count="1" selected="0">
            <x v="5"/>
          </reference>
          <reference field="9" count="1" selected="0">
            <x v="1"/>
          </reference>
          <reference field="11" count="1" selected="0">
            <x v="37"/>
          </reference>
          <reference field="12" count="1" selected="0">
            <x v="2"/>
          </reference>
        </references>
      </pivotArea>
    </chartFormat>
    <chartFormat chart="10" format="62">
      <pivotArea type="data" outline="0" fieldPosition="0">
        <references count="5">
          <reference field="4294967294" count="1" selected="0">
            <x v="2"/>
          </reference>
          <reference field="8" count="1" selected="0">
            <x v="6"/>
          </reference>
          <reference field="9" count="1" selected="0">
            <x v="1"/>
          </reference>
          <reference field="11" count="1" selected="0">
            <x v="38"/>
          </reference>
          <reference field="12" count="1" selected="0">
            <x v="2"/>
          </reference>
        </references>
      </pivotArea>
    </chartFormat>
    <chartFormat chart="10" format="63">
      <pivotArea type="data" outline="0" fieldPosition="0">
        <references count="5">
          <reference field="4294967294" count="1" selected="0">
            <x v="2"/>
          </reference>
          <reference field="8" count="1" selected="0">
            <x v="7"/>
          </reference>
          <reference field="9" count="1" selected="0">
            <x v="1"/>
          </reference>
          <reference field="11" count="1" selected="0">
            <x v="123"/>
          </reference>
          <reference field="12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534E32-30DB-F74A-BAFC-C5B15E5BA6F0}" name="PivotTable8" cacheId="0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chartFormat="6">
  <location ref="F8:H14" firstHeaderRow="0" firstDataRow="1" firstDataCol="1" rowPageCount="1" colPageCount="1"/>
  <pivotFields count="13">
    <pivotField showAll="0"/>
    <pivotField showAll="0"/>
    <pivotField axis="axisRow" showAll="0">
      <items count="6">
        <item x="3"/>
        <item x="4"/>
        <item x="2"/>
        <item x="0"/>
        <item x="1"/>
        <item t="default"/>
      </items>
    </pivotField>
    <pivotField showAll="0"/>
    <pivotField showAll="0"/>
    <pivotField showAll="0"/>
    <pivotField showAll="0"/>
    <pivotField showAll="0"/>
    <pivotField numFmtId="14" showAll="0">
      <items count="9">
        <item x="0"/>
        <item x="1"/>
        <item x="2"/>
        <item x="3"/>
        <item x="5"/>
        <item x="6"/>
        <item x="7"/>
        <item x="4"/>
        <item t="default"/>
      </items>
    </pivotField>
    <pivotField axis="axisPage" multipleItemSelectionAllowed="1" showAll="0">
      <items count="3">
        <item h="1" x="1"/>
        <item x="0"/>
        <item t="default"/>
      </items>
    </pivotField>
    <pivotField dataField="1"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pageFields count="1">
    <pageField fld="9" hier="-1"/>
  </pageFields>
  <dataFields count="2">
    <dataField name="Sum of Sales Amount" fld="10" baseField="0" baseItem="0"/>
    <dataField name="Sum of Sales Amount2" fld="10" baseField="0" baseItem="0"/>
  </dataFields>
  <formats count="12">
    <format dxfId="81">
      <pivotArea type="all" dataOnly="0" outline="0" fieldPosition="0"/>
    </format>
    <format dxfId="80">
      <pivotArea outline="0" collapsedLevelsAreSubtotals="1" fieldPosition="0"/>
    </format>
    <format dxfId="79">
      <pivotArea field="2" type="button" dataOnly="0" labelOnly="1" outline="0" axis="axisRow" fieldPosition="0"/>
    </format>
    <format dxfId="78">
      <pivotArea dataOnly="0" labelOnly="1" fieldPosition="0">
        <references count="1">
          <reference field="2" count="0"/>
        </references>
      </pivotArea>
    </format>
    <format dxfId="77">
      <pivotArea dataOnly="0" labelOnly="1" grandRow="1" outline="0" fieldPosition="0"/>
    </format>
    <format dxfId="7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5">
      <pivotArea type="all" dataOnly="0" outline="0" fieldPosition="0"/>
    </format>
    <format dxfId="74">
      <pivotArea outline="0" collapsedLevelsAreSubtotals="1" fieldPosition="0"/>
    </format>
    <format dxfId="73">
      <pivotArea field="2" type="button" dataOnly="0" labelOnly="1" outline="0" axis="axisRow" fieldPosition="0"/>
    </format>
    <format dxfId="72">
      <pivotArea dataOnly="0" labelOnly="1" fieldPosition="0">
        <references count="1">
          <reference field="2" count="0"/>
        </references>
      </pivotArea>
    </format>
    <format dxfId="71">
      <pivotArea dataOnly="0" labelOnly="1" grandRow="1" outline="0" fieldPosition="0"/>
    </format>
    <format dxfId="7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3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4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4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4" format="6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4" format="7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4" format="8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9">
      <pivotArea type="data" outline="0" fieldPosition="0">
        <references count="2">
          <reference field="4294967294" count="1" selected="0">
            <x v="1"/>
          </reference>
          <reference field="2" count="1" selected="0">
            <x v="0"/>
          </reference>
        </references>
      </pivotArea>
    </chartFormat>
    <chartFormat chart="4" format="10">
      <pivotArea type="data" outline="0" fieldPosition="0">
        <references count="2">
          <reference field="4294967294" count="1" selected="0">
            <x v="1"/>
          </reference>
          <reference field="2" count="1" selected="0">
            <x v="1"/>
          </reference>
        </references>
      </pivotArea>
    </chartFormat>
    <chartFormat chart="4" format="11">
      <pivotArea type="data" outline="0" fieldPosition="0">
        <references count="2">
          <reference field="4294967294" count="1" selected="0">
            <x v="1"/>
          </reference>
          <reference field="2" count="1" selected="0">
            <x v="2"/>
          </reference>
        </references>
      </pivotArea>
    </chartFormat>
    <chartFormat chart="4" format="12">
      <pivotArea type="data" outline="0" fieldPosition="0">
        <references count="2">
          <reference field="4294967294" count="1" selected="0">
            <x v="1"/>
          </reference>
          <reference field="2" count="1" selected="0">
            <x v="3"/>
          </reference>
        </references>
      </pivotArea>
    </chartFormat>
    <chartFormat chart="4" format="13">
      <pivotArea type="data" outline="0" fieldPosition="0">
        <references count="2">
          <reference field="4294967294" count="1" selected="0">
            <x v="1"/>
          </reference>
          <reference field="2" count="1" selected="0">
            <x v="4"/>
          </reference>
        </references>
      </pivotArea>
    </chartFormat>
    <chartFormat chart="5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5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5" format="16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5" format="17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5" format="18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5" format="19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5" format="2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1">
      <pivotArea type="data" outline="0" fieldPosition="0">
        <references count="2">
          <reference field="4294967294" count="1" selected="0">
            <x v="1"/>
          </reference>
          <reference field="2" count="1" selected="0">
            <x v="0"/>
          </reference>
        </references>
      </pivotArea>
    </chartFormat>
    <chartFormat chart="5" format="22">
      <pivotArea type="data" outline="0" fieldPosition="0">
        <references count="2">
          <reference field="4294967294" count="1" selected="0">
            <x v="1"/>
          </reference>
          <reference field="2" count="1" selected="0">
            <x v="1"/>
          </reference>
        </references>
      </pivotArea>
    </chartFormat>
    <chartFormat chart="5" format="23">
      <pivotArea type="data" outline="0" fieldPosition="0">
        <references count="2">
          <reference field="4294967294" count="1" selected="0">
            <x v="1"/>
          </reference>
          <reference field="2" count="1" selected="0">
            <x v="2"/>
          </reference>
        </references>
      </pivotArea>
    </chartFormat>
    <chartFormat chart="5" format="24">
      <pivotArea type="data" outline="0" fieldPosition="0">
        <references count="2">
          <reference field="4294967294" count="1" selected="0">
            <x v="1"/>
          </reference>
          <reference field="2" count="1" selected="0">
            <x v="3"/>
          </reference>
        </references>
      </pivotArea>
    </chartFormat>
    <chartFormat chart="5" format="25">
      <pivotArea type="data" outline="0" fieldPosition="0">
        <references count="2">
          <reference field="4294967294" count="1" selected="0">
            <x v="1"/>
          </reference>
          <reference field="2" count="1" selected="0">
            <x v="4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1"/>
          </reference>
          <reference field="2" count="1" selected="0">
            <x v="0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1"/>
          </reference>
          <reference field="2" count="1" selected="0">
            <x v="1"/>
          </reference>
        </references>
      </pivotArea>
    </chartFormat>
    <chartFormat chart="0" format="9">
      <pivotArea type="data" outline="0" fieldPosition="0">
        <references count="2">
          <reference field="4294967294" count="1" selected="0">
            <x v="1"/>
          </reference>
          <reference field="2" count="1" selected="0">
            <x v="2"/>
          </reference>
        </references>
      </pivotArea>
    </chartFormat>
    <chartFormat chart="0" format="10">
      <pivotArea type="data" outline="0" fieldPosition="0">
        <references count="2">
          <reference field="4294967294" count="1" selected="0">
            <x v="1"/>
          </reference>
          <reference field="2" count="1" selected="0">
            <x v="3"/>
          </reference>
        </references>
      </pivotArea>
    </chartFormat>
    <chartFormat chart="0" format="11">
      <pivotArea type="data" outline="0" fieldPosition="0">
        <references count="2">
          <reference field="4294967294" count="1" selected="0">
            <x v="1"/>
          </reference>
          <reference field="2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8D32D8-323A-B141-907C-02468ABB5B9F}">
  <dimension ref="A1:K10"/>
  <sheetViews>
    <sheetView tabSelected="1" workbookViewId="0">
      <selection activeCell="I13" sqref="I13"/>
    </sheetView>
  </sheetViews>
  <sheetFormatPr baseColWidth="10" defaultRowHeight="16" x14ac:dyDescent="0.2"/>
  <cols>
    <col min="1" max="1" width="10.83203125" customWidth="1"/>
    <col min="2" max="2" width="24.1640625" customWidth="1"/>
    <col min="3" max="3" width="12.83203125" customWidth="1"/>
    <col min="5" max="5" width="15.83203125" customWidth="1"/>
    <col min="7" max="7" width="17" customWidth="1"/>
    <col min="8" max="8" width="15.6640625" customWidth="1"/>
    <col min="9" max="9" width="16" customWidth="1"/>
    <col min="10" max="10" width="17.83203125" customWidth="1"/>
    <col min="11" max="11" width="14.83203125" customWidth="1"/>
  </cols>
  <sheetData>
    <row r="1" spans="1:11" ht="19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50</v>
      </c>
      <c r="K1" s="2" t="s">
        <v>57</v>
      </c>
    </row>
    <row r="2" spans="1:11" ht="22" x14ac:dyDescent="0.3">
      <c r="A2" s="4">
        <v>2002</v>
      </c>
      <c r="B2" s="4" t="s">
        <v>9</v>
      </c>
      <c r="C2" s="4" t="s">
        <v>10</v>
      </c>
      <c r="D2" s="4" t="s">
        <v>11</v>
      </c>
      <c r="E2" s="4">
        <v>120</v>
      </c>
      <c r="F2" s="4">
        <v>2</v>
      </c>
      <c r="G2" s="4" t="s">
        <v>12</v>
      </c>
      <c r="H2" s="4" t="s">
        <v>13</v>
      </c>
      <c r="I2" s="5">
        <v>46054</v>
      </c>
      <c r="J2" s="6" t="s">
        <v>51</v>
      </c>
      <c r="K2" s="4">
        <f t="shared" ref="K2:K10" si="0">E2*F2</f>
        <v>240</v>
      </c>
    </row>
    <row r="3" spans="1:11" ht="22" x14ac:dyDescent="0.3">
      <c r="A3" s="4">
        <v>2003</v>
      </c>
      <c r="B3" s="4" t="s">
        <v>14</v>
      </c>
      <c r="C3" s="4" t="s">
        <v>15</v>
      </c>
      <c r="D3" s="4" t="s">
        <v>16</v>
      </c>
      <c r="E3" s="4">
        <v>250</v>
      </c>
      <c r="F3" s="4">
        <v>1</v>
      </c>
      <c r="G3" s="4" t="s">
        <v>17</v>
      </c>
      <c r="H3" s="4" t="s">
        <v>18</v>
      </c>
      <c r="I3" s="5">
        <v>46055</v>
      </c>
      <c r="J3" s="6" t="s">
        <v>51</v>
      </c>
      <c r="K3" s="4">
        <f t="shared" si="0"/>
        <v>250</v>
      </c>
    </row>
    <row r="4" spans="1:11" ht="22" x14ac:dyDescent="0.3">
      <c r="A4" s="4">
        <v>2004</v>
      </c>
      <c r="B4" s="4" t="s">
        <v>19</v>
      </c>
      <c r="C4" s="4" t="s">
        <v>20</v>
      </c>
      <c r="D4" s="4" t="s">
        <v>21</v>
      </c>
      <c r="E4" s="4">
        <v>200</v>
      </c>
      <c r="F4" s="4">
        <v>1</v>
      </c>
      <c r="G4" s="4" t="s">
        <v>22</v>
      </c>
      <c r="H4" s="4" t="s">
        <v>13</v>
      </c>
      <c r="I4" s="5">
        <v>46056</v>
      </c>
      <c r="J4" s="6" t="s">
        <v>51</v>
      </c>
      <c r="K4" s="4">
        <f t="shared" si="0"/>
        <v>200</v>
      </c>
    </row>
    <row r="5" spans="1:11" ht="22" x14ac:dyDescent="0.3">
      <c r="A5" s="4">
        <v>2005</v>
      </c>
      <c r="B5" s="4" t="s">
        <v>23</v>
      </c>
      <c r="C5" s="4" t="s">
        <v>24</v>
      </c>
      <c r="D5" s="4" t="s">
        <v>25</v>
      </c>
      <c r="E5" s="4">
        <v>300</v>
      </c>
      <c r="F5" s="4">
        <v>-1</v>
      </c>
      <c r="G5" s="4" t="s">
        <v>12</v>
      </c>
      <c r="H5" s="4" t="s">
        <v>13</v>
      </c>
      <c r="I5" s="5">
        <v>46056</v>
      </c>
      <c r="J5" s="6" t="s">
        <v>52</v>
      </c>
      <c r="K5" s="4">
        <f t="shared" si="0"/>
        <v>-300</v>
      </c>
    </row>
    <row r="6" spans="1:11" ht="22" x14ac:dyDescent="0.3">
      <c r="A6" s="4">
        <v>2006</v>
      </c>
      <c r="B6" s="4" t="s">
        <v>26</v>
      </c>
      <c r="C6" s="4" t="s">
        <v>15</v>
      </c>
      <c r="D6" s="4" t="s">
        <v>21</v>
      </c>
      <c r="E6" s="4">
        <v>180</v>
      </c>
      <c r="F6" s="4">
        <v>2</v>
      </c>
      <c r="G6" s="4" t="s">
        <v>58</v>
      </c>
      <c r="H6" s="4" t="s">
        <v>13</v>
      </c>
      <c r="I6" s="5">
        <v>46057</v>
      </c>
      <c r="J6" s="6" t="s">
        <v>51</v>
      </c>
      <c r="K6" s="4">
        <f t="shared" si="0"/>
        <v>360</v>
      </c>
    </row>
    <row r="7" spans="1:11" ht="22" x14ac:dyDescent="0.3">
      <c r="A7" s="4">
        <v>2007</v>
      </c>
      <c r="B7" s="4" t="s">
        <v>27</v>
      </c>
      <c r="C7" s="4" t="s">
        <v>28</v>
      </c>
      <c r="D7" s="4" t="s">
        <v>16</v>
      </c>
      <c r="E7" s="4">
        <v>550</v>
      </c>
      <c r="F7" s="4">
        <v>1</v>
      </c>
      <c r="G7" s="4" t="s">
        <v>29</v>
      </c>
      <c r="H7" s="4" t="s">
        <v>37</v>
      </c>
      <c r="I7" s="5">
        <v>46144</v>
      </c>
      <c r="J7" s="6" t="s">
        <v>51</v>
      </c>
      <c r="K7" s="4">
        <f t="shared" si="0"/>
        <v>550</v>
      </c>
    </row>
    <row r="8" spans="1:11" ht="22" x14ac:dyDescent="0.3">
      <c r="A8" s="4">
        <v>2008</v>
      </c>
      <c r="B8" s="4" t="s">
        <v>30</v>
      </c>
      <c r="C8" s="4" t="s">
        <v>10</v>
      </c>
      <c r="D8" s="4" t="s">
        <v>11</v>
      </c>
      <c r="E8" s="4">
        <v>150</v>
      </c>
      <c r="F8" s="4">
        <v>1</v>
      </c>
      <c r="G8" s="4" t="s">
        <v>31</v>
      </c>
      <c r="H8" s="4" t="s">
        <v>18</v>
      </c>
      <c r="I8" s="5">
        <v>46058</v>
      </c>
      <c r="J8" s="6" t="s">
        <v>51</v>
      </c>
      <c r="K8" s="4">
        <f t="shared" si="0"/>
        <v>150</v>
      </c>
    </row>
    <row r="9" spans="1:11" ht="22" x14ac:dyDescent="0.3">
      <c r="A9" s="4">
        <v>2009</v>
      </c>
      <c r="B9" s="4" t="s">
        <v>32</v>
      </c>
      <c r="C9" s="4" t="s">
        <v>20</v>
      </c>
      <c r="D9" s="4" t="s">
        <v>33</v>
      </c>
      <c r="E9" s="4">
        <v>220</v>
      </c>
      <c r="F9" s="4">
        <v>2</v>
      </c>
      <c r="G9" s="4" t="s">
        <v>22</v>
      </c>
      <c r="H9" s="4" t="s">
        <v>13</v>
      </c>
      <c r="I9" s="5">
        <v>46059</v>
      </c>
      <c r="J9" s="6" t="s">
        <v>51</v>
      </c>
      <c r="K9" s="4">
        <f t="shared" si="0"/>
        <v>440</v>
      </c>
    </row>
    <row r="10" spans="1:11" ht="22" x14ac:dyDescent="0.3">
      <c r="A10" s="4">
        <v>2010</v>
      </c>
      <c r="B10" s="4" t="s">
        <v>34</v>
      </c>
      <c r="C10" s="4" t="s">
        <v>24</v>
      </c>
      <c r="D10" s="4" t="s">
        <v>35</v>
      </c>
      <c r="E10" s="4">
        <v>280</v>
      </c>
      <c r="F10" s="4">
        <v>1</v>
      </c>
      <c r="G10" s="4" t="s">
        <v>36</v>
      </c>
      <c r="H10" s="4" t="s">
        <v>37</v>
      </c>
      <c r="I10" s="5">
        <v>46060</v>
      </c>
      <c r="J10" s="6" t="s">
        <v>51</v>
      </c>
      <c r="K10" s="4">
        <f t="shared" si="0"/>
        <v>280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2401D-CB03-624B-8599-E1267B63FF9A}">
  <dimension ref="A1:D11"/>
  <sheetViews>
    <sheetView workbookViewId="0">
      <selection activeCell="B25" sqref="B25"/>
    </sheetView>
  </sheetViews>
  <sheetFormatPr baseColWidth="10" defaultRowHeight="16" x14ac:dyDescent="0.2"/>
  <cols>
    <col min="1" max="1" width="22.33203125" customWidth="1"/>
    <col min="2" max="2" width="15.5" customWidth="1"/>
    <col min="3" max="3" width="15.83203125" customWidth="1"/>
    <col min="4" max="4" width="14.5" customWidth="1"/>
  </cols>
  <sheetData>
    <row r="1" spans="1:4" ht="19" x14ac:dyDescent="0.25">
      <c r="A1" s="7" t="s">
        <v>1</v>
      </c>
      <c r="B1" s="7" t="s">
        <v>2</v>
      </c>
      <c r="C1" s="7" t="s">
        <v>38</v>
      </c>
      <c r="D1" s="7" t="s">
        <v>39</v>
      </c>
    </row>
    <row r="2" spans="1:4" ht="22" x14ac:dyDescent="0.3">
      <c r="A2" s="8" t="s">
        <v>9</v>
      </c>
      <c r="B2" s="8" t="s">
        <v>10</v>
      </c>
      <c r="C2" s="8" t="s">
        <v>11</v>
      </c>
      <c r="D2" s="8">
        <v>120</v>
      </c>
    </row>
    <row r="3" spans="1:4" ht="22" x14ac:dyDescent="0.3">
      <c r="A3" s="8" t="s">
        <v>14</v>
      </c>
      <c r="B3" s="8" t="s">
        <v>15</v>
      </c>
      <c r="C3" s="8" t="s">
        <v>16</v>
      </c>
      <c r="D3" s="8">
        <v>250</v>
      </c>
    </row>
    <row r="4" spans="1:4" ht="22" x14ac:dyDescent="0.3">
      <c r="A4" s="8" t="s">
        <v>19</v>
      </c>
      <c r="B4" s="8" t="s">
        <v>20</v>
      </c>
      <c r="C4" s="8" t="s">
        <v>21</v>
      </c>
      <c r="D4" s="8">
        <v>200</v>
      </c>
    </row>
    <row r="5" spans="1:4" ht="22" x14ac:dyDescent="0.3">
      <c r="A5" s="8" t="s">
        <v>23</v>
      </c>
      <c r="B5" s="8" t="s">
        <v>24</v>
      </c>
      <c r="C5" s="8" t="s">
        <v>25</v>
      </c>
      <c r="D5" s="8">
        <v>300</v>
      </c>
    </row>
    <row r="6" spans="1:4" ht="22" x14ac:dyDescent="0.3">
      <c r="A6" s="8" t="s">
        <v>27</v>
      </c>
      <c r="B6" s="8" t="s">
        <v>28</v>
      </c>
      <c r="C6" s="8" t="s">
        <v>16</v>
      </c>
      <c r="D6" s="8">
        <v>550</v>
      </c>
    </row>
    <row r="7" spans="1:4" ht="22" x14ac:dyDescent="0.3">
      <c r="A7" s="8" t="s">
        <v>30</v>
      </c>
      <c r="B7" s="8" t="s">
        <v>10</v>
      </c>
      <c r="C7" s="8" t="s">
        <v>11</v>
      </c>
      <c r="D7" s="8">
        <v>150</v>
      </c>
    </row>
    <row r="8" spans="1:4" ht="22" x14ac:dyDescent="0.3">
      <c r="A8" s="8" t="s">
        <v>32</v>
      </c>
      <c r="B8" s="8" t="s">
        <v>20</v>
      </c>
      <c r="C8" s="8" t="s">
        <v>33</v>
      </c>
      <c r="D8" s="8">
        <v>220</v>
      </c>
    </row>
    <row r="9" spans="1:4" ht="22" x14ac:dyDescent="0.3">
      <c r="A9" s="8" t="s">
        <v>34</v>
      </c>
      <c r="B9" s="8" t="s">
        <v>24</v>
      </c>
      <c r="C9" s="8" t="s">
        <v>35</v>
      </c>
      <c r="D9" s="8">
        <v>280</v>
      </c>
    </row>
    <row r="10" spans="1:4" ht="22" x14ac:dyDescent="0.3">
      <c r="A10" s="8" t="s">
        <v>26</v>
      </c>
      <c r="B10" s="8" t="s">
        <v>15</v>
      </c>
      <c r="C10" s="8" t="s">
        <v>21</v>
      </c>
      <c r="D10" s="8">
        <v>180</v>
      </c>
    </row>
    <row r="11" spans="1:4" ht="22" x14ac:dyDescent="0.3">
      <c r="A11" s="8" t="s">
        <v>40</v>
      </c>
      <c r="B11" s="8" t="s">
        <v>15</v>
      </c>
      <c r="C11" s="8" t="s">
        <v>41</v>
      </c>
      <c r="D11" s="8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40F6D0-F5E5-4844-A021-E2F4D45BF1E1}">
  <dimension ref="A1:C4"/>
  <sheetViews>
    <sheetView workbookViewId="0">
      <selection activeCell="C15" sqref="C15"/>
    </sheetView>
  </sheetViews>
  <sheetFormatPr baseColWidth="10" defaultRowHeight="16" x14ac:dyDescent="0.2"/>
  <cols>
    <col min="3" max="3" width="21.5" customWidth="1"/>
  </cols>
  <sheetData>
    <row r="1" spans="1:3" ht="19" x14ac:dyDescent="0.25">
      <c r="A1" s="1" t="s">
        <v>49</v>
      </c>
      <c r="B1" s="1" t="s">
        <v>0</v>
      </c>
      <c r="C1" s="1" t="s">
        <v>48</v>
      </c>
    </row>
    <row r="2" spans="1:3" ht="22" x14ac:dyDescent="0.3">
      <c r="A2" s="8" t="s">
        <v>42</v>
      </c>
      <c r="B2" s="8">
        <v>2005</v>
      </c>
      <c r="C2" s="8" t="s">
        <v>43</v>
      </c>
    </row>
    <row r="3" spans="1:3" ht="22" x14ac:dyDescent="0.3">
      <c r="A3" s="8" t="s">
        <v>44</v>
      </c>
      <c r="B3" s="8">
        <v>2004</v>
      </c>
      <c r="C3" s="8" t="s">
        <v>45</v>
      </c>
    </row>
    <row r="4" spans="1:3" ht="22" x14ac:dyDescent="0.3">
      <c r="A4" s="8" t="s">
        <v>46</v>
      </c>
      <c r="B4" s="8">
        <v>9999</v>
      </c>
      <c r="C4" s="8" t="s">
        <v>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99DE9-9F9E-464F-B5D6-CD27FCBDB923}">
  <dimension ref="A1:B3"/>
  <sheetViews>
    <sheetView workbookViewId="0">
      <selection activeCell="E16" sqref="E16"/>
    </sheetView>
  </sheetViews>
  <sheetFormatPr baseColWidth="10" defaultRowHeight="16" x14ac:dyDescent="0.2"/>
  <cols>
    <col min="1" max="1" width="47.5" customWidth="1"/>
    <col min="2" max="2" width="33.83203125" customWidth="1"/>
  </cols>
  <sheetData>
    <row r="1" spans="1:2" ht="19" x14ac:dyDescent="0.25">
      <c r="A1" s="1" t="s">
        <v>53</v>
      </c>
      <c r="B1" s="1" t="s">
        <v>54</v>
      </c>
    </row>
    <row r="2" spans="1:2" ht="22" x14ac:dyDescent="0.3">
      <c r="A2" s="8" t="s">
        <v>56</v>
      </c>
      <c r="B2" s="8" t="s">
        <v>55</v>
      </c>
    </row>
    <row r="3" spans="1:2" ht="22" x14ac:dyDescent="0.3">
      <c r="A3" s="8" t="s">
        <v>59</v>
      </c>
      <c r="B3" s="8" t="s">
        <v>60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F1E814-0A08-3C4B-A1EE-2F74F8EACBAA}">
  <dimension ref="A1:P29"/>
  <sheetViews>
    <sheetView zoomScale="75" zoomScaleNormal="88" workbookViewId="0">
      <selection activeCell="T16" sqref="T16"/>
    </sheetView>
  </sheetViews>
  <sheetFormatPr baseColWidth="10" defaultRowHeight="16" x14ac:dyDescent="0.2"/>
  <cols>
    <col min="1" max="1" width="18.33203125" customWidth="1"/>
    <col min="2" max="2" width="24.83203125" customWidth="1"/>
    <col min="3" max="3" width="27.5" customWidth="1"/>
    <col min="4" max="4" width="26.1640625" customWidth="1"/>
    <col min="5" max="5" width="19.6640625" bestFit="1" customWidth="1"/>
    <col min="6" max="6" width="20.83203125" bestFit="1" customWidth="1"/>
    <col min="7" max="7" width="24.83203125" customWidth="1"/>
    <col min="8" max="8" width="22.6640625" customWidth="1"/>
    <col min="14" max="14" width="21.33203125" bestFit="1" customWidth="1"/>
    <col min="15" max="15" width="25" bestFit="1" customWidth="1"/>
    <col min="16" max="16" width="26.33203125" bestFit="1" customWidth="1"/>
  </cols>
  <sheetData>
    <row r="1" spans="1:16" ht="24" x14ac:dyDescent="0.3">
      <c r="A1" s="9" t="s">
        <v>61</v>
      </c>
      <c r="B1" s="10" t="s">
        <v>63</v>
      </c>
      <c r="C1" s="10" t="s">
        <v>64</v>
      </c>
      <c r="D1" s="10" t="s">
        <v>75</v>
      </c>
      <c r="I1" s="20"/>
      <c r="J1" s="20" t="s">
        <v>76</v>
      </c>
      <c r="K1" s="21"/>
      <c r="L1" s="22" t="s">
        <v>80</v>
      </c>
      <c r="N1" s="9" t="s">
        <v>50</v>
      </c>
      <c r="O1" s="10" t="s">
        <v>51</v>
      </c>
    </row>
    <row r="2" spans="1:16" ht="24" x14ac:dyDescent="0.3">
      <c r="A2" s="11" t="s">
        <v>65</v>
      </c>
      <c r="B2" s="11">
        <v>1620</v>
      </c>
      <c r="C2" s="11">
        <v>1620</v>
      </c>
      <c r="D2" s="11">
        <v>8</v>
      </c>
      <c r="I2" s="21"/>
      <c r="J2" s="20" t="s">
        <v>77</v>
      </c>
      <c r="K2" s="21"/>
      <c r="L2" s="22" t="s">
        <v>81</v>
      </c>
    </row>
    <row r="3" spans="1:16" ht="24" x14ac:dyDescent="0.3">
      <c r="A3" s="11" t="s">
        <v>66</v>
      </c>
      <c r="B3" s="11">
        <v>240</v>
      </c>
      <c r="C3" s="11">
        <v>240</v>
      </c>
      <c r="D3" s="11">
        <v>1</v>
      </c>
      <c r="I3" s="21"/>
      <c r="J3" s="20" t="s">
        <v>78</v>
      </c>
      <c r="K3" s="21"/>
      <c r="L3" s="22">
        <v>9</v>
      </c>
      <c r="N3" s="9" t="s">
        <v>61</v>
      </c>
      <c r="O3" s="10" t="s">
        <v>63</v>
      </c>
      <c r="P3" s="10" t="s">
        <v>64</v>
      </c>
    </row>
    <row r="4" spans="1:16" ht="24" x14ac:dyDescent="0.3">
      <c r="A4" s="12">
        <v>46054</v>
      </c>
      <c r="B4" s="11">
        <v>240</v>
      </c>
      <c r="C4" s="11">
        <v>240</v>
      </c>
      <c r="D4" s="11">
        <v>1</v>
      </c>
      <c r="I4" s="21"/>
      <c r="J4" s="20" t="s">
        <v>79</v>
      </c>
      <c r="K4" s="21"/>
      <c r="L4" s="23">
        <v>0.1215</v>
      </c>
      <c r="N4" s="10" t="s">
        <v>27</v>
      </c>
      <c r="O4" s="10">
        <v>550</v>
      </c>
      <c r="P4" s="10">
        <v>550</v>
      </c>
    </row>
    <row r="5" spans="1:16" ht="22" x14ac:dyDescent="0.3">
      <c r="A5" s="11" t="s">
        <v>51</v>
      </c>
      <c r="B5" s="11">
        <v>240</v>
      </c>
      <c r="C5" s="11">
        <v>240</v>
      </c>
      <c r="D5" s="11">
        <v>1</v>
      </c>
      <c r="N5" s="10" t="s">
        <v>32</v>
      </c>
      <c r="O5" s="10">
        <v>440</v>
      </c>
      <c r="P5" s="10">
        <v>440</v>
      </c>
    </row>
    <row r="6" spans="1:16" ht="22" x14ac:dyDescent="0.3">
      <c r="A6" s="11" t="s">
        <v>67</v>
      </c>
      <c r="B6" s="11">
        <v>250</v>
      </c>
      <c r="C6" s="11">
        <v>250</v>
      </c>
      <c r="D6" s="11">
        <v>1</v>
      </c>
      <c r="F6" s="18" t="s">
        <v>50</v>
      </c>
      <c r="G6" s="11" t="s">
        <v>51</v>
      </c>
      <c r="H6" s="19"/>
      <c r="N6" s="10" t="s">
        <v>26</v>
      </c>
      <c r="O6" s="10">
        <v>360</v>
      </c>
      <c r="P6" s="10">
        <v>360</v>
      </c>
    </row>
    <row r="7" spans="1:16" ht="22" x14ac:dyDescent="0.3">
      <c r="A7" s="12">
        <v>46055</v>
      </c>
      <c r="B7" s="11">
        <v>250</v>
      </c>
      <c r="C7" s="11">
        <v>250</v>
      </c>
      <c r="D7" s="11">
        <v>1</v>
      </c>
      <c r="F7" s="19"/>
      <c r="G7" s="19"/>
      <c r="H7" s="19"/>
      <c r="N7" s="10" t="s">
        <v>34</v>
      </c>
      <c r="O7" s="10">
        <v>280</v>
      </c>
      <c r="P7" s="10">
        <v>280</v>
      </c>
    </row>
    <row r="8" spans="1:16" ht="22" x14ac:dyDescent="0.3">
      <c r="A8" s="11" t="s">
        <v>51</v>
      </c>
      <c r="B8" s="11">
        <v>250</v>
      </c>
      <c r="C8" s="11">
        <v>250</v>
      </c>
      <c r="D8" s="11">
        <v>1</v>
      </c>
      <c r="F8" s="18" t="s">
        <v>61</v>
      </c>
      <c r="G8" s="11" t="s">
        <v>63</v>
      </c>
      <c r="H8" s="11" t="s">
        <v>64</v>
      </c>
      <c r="N8" s="10" t="s">
        <v>14</v>
      </c>
      <c r="O8" s="10">
        <v>250</v>
      </c>
      <c r="P8" s="10">
        <v>250</v>
      </c>
    </row>
    <row r="9" spans="1:16" ht="22" x14ac:dyDescent="0.3">
      <c r="A9" s="11" t="s">
        <v>68</v>
      </c>
      <c r="B9" s="11">
        <v>-100</v>
      </c>
      <c r="C9" s="11">
        <v>-100</v>
      </c>
      <c r="D9" s="11">
        <v>2</v>
      </c>
      <c r="F9" s="11" t="s">
        <v>24</v>
      </c>
      <c r="G9" s="11">
        <v>280</v>
      </c>
      <c r="H9" s="11">
        <v>280</v>
      </c>
      <c r="N9" s="10" t="s">
        <v>9</v>
      </c>
      <c r="O9" s="10">
        <v>240</v>
      </c>
      <c r="P9" s="10">
        <v>240</v>
      </c>
    </row>
    <row r="10" spans="1:16" ht="22" x14ac:dyDescent="0.3">
      <c r="A10" s="12">
        <v>46056</v>
      </c>
      <c r="B10" s="11">
        <v>-100</v>
      </c>
      <c r="C10" s="11">
        <v>-100</v>
      </c>
      <c r="D10" s="11">
        <v>2</v>
      </c>
      <c r="F10" s="11" t="s">
        <v>28</v>
      </c>
      <c r="G10" s="11">
        <v>550</v>
      </c>
      <c r="H10" s="11">
        <v>550</v>
      </c>
      <c r="N10" s="10" t="s">
        <v>19</v>
      </c>
      <c r="O10" s="10">
        <v>200</v>
      </c>
      <c r="P10" s="10">
        <v>200</v>
      </c>
    </row>
    <row r="11" spans="1:16" ht="22" x14ac:dyDescent="0.3">
      <c r="A11" s="11" t="s">
        <v>52</v>
      </c>
      <c r="B11" s="11">
        <v>-300</v>
      </c>
      <c r="C11" s="11">
        <v>-300</v>
      </c>
      <c r="D11" s="11">
        <v>1</v>
      </c>
      <c r="F11" s="11" t="s">
        <v>20</v>
      </c>
      <c r="G11" s="11">
        <v>640</v>
      </c>
      <c r="H11" s="11">
        <v>640</v>
      </c>
      <c r="N11" s="10" t="s">
        <v>30</v>
      </c>
      <c r="O11" s="10">
        <v>150</v>
      </c>
      <c r="P11" s="10">
        <v>150</v>
      </c>
    </row>
    <row r="12" spans="1:16" ht="22" x14ac:dyDescent="0.3">
      <c r="A12" s="11" t="s">
        <v>51</v>
      </c>
      <c r="B12" s="11">
        <v>200</v>
      </c>
      <c r="C12" s="11">
        <v>200</v>
      </c>
      <c r="D12" s="11">
        <v>1</v>
      </c>
      <c r="F12" s="11" t="s">
        <v>10</v>
      </c>
      <c r="G12" s="11">
        <v>390</v>
      </c>
      <c r="H12" s="11">
        <v>390</v>
      </c>
      <c r="N12" s="10" t="s">
        <v>62</v>
      </c>
      <c r="O12" s="10">
        <v>2470</v>
      </c>
      <c r="P12" s="10">
        <v>2470</v>
      </c>
    </row>
    <row r="13" spans="1:16" x14ac:dyDescent="0.2">
      <c r="A13" s="11" t="s">
        <v>69</v>
      </c>
      <c r="B13" s="11">
        <v>360</v>
      </c>
      <c r="C13" s="11">
        <v>360</v>
      </c>
      <c r="D13" s="11">
        <v>1</v>
      </c>
      <c r="F13" s="11" t="s">
        <v>15</v>
      </c>
      <c r="G13" s="11">
        <v>610</v>
      </c>
      <c r="H13" s="11">
        <v>610</v>
      </c>
    </row>
    <row r="14" spans="1:16" x14ac:dyDescent="0.2">
      <c r="A14" s="12">
        <v>46057</v>
      </c>
      <c r="B14" s="11">
        <v>360</v>
      </c>
      <c r="C14" s="11">
        <v>360</v>
      </c>
      <c r="D14" s="11">
        <v>1</v>
      </c>
      <c r="F14" s="11" t="s">
        <v>62</v>
      </c>
      <c r="G14" s="11">
        <v>2470</v>
      </c>
      <c r="H14" s="11">
        <v>2470</v>
      </c>
    </row>
    <row r="15" spans="1:16" x14ac:dyDescent="0.2">
      <c r="A15" s="11" t="s">
        <v>51</v>
      </c>
      <c r="B15" s="11">
        <v>360</v>
      </c>
      <c r="C15" s="11">
        <v>360</v>
      </c>
      <c r="D15" s="11">
        <v>1</v>
      </c>
    </row>
    <row r="16" spans="1:16" x14ac:dyDescent="0.2">
      <c r="A16" s="11" t="s">
        <v>70</v>
      </c>
      <c r="B16" s="11">
        <v>150</v>
      </c>
      <c r="C16" s="11">
        <v>150</v>
      </c>
      <c r="D16" s="11">
        <v>1</v>
      </c>
    </row>
    <row r="17" spans="1:4" x14ac:dyDescent="0.2">
      <c r="A17" s="12">
        <v>46058</v>
      </c>
      <c r="B17" s="11">
        <v>150</v>
      </c>
      <c r="C17" s="11">
        <v>150</v>
      </c>
      <c r="D17" s="11">
        <v>1</v>
      </c>
    </row>
    <row r="18" spans="1:4" x14ac:dyDescent="0.2">
      <c r="A18" s="11" t="s">
        <v>51</v>
      </c>
      <c r="B18" s="11">
        <v>150</v>
      </c>
      <c r="C18" s="11">
        <v>150</v>
      </c>
      <c r="D18" s="11">
        <v>1</v>
      </c>
    </row>
    <row r="19" spans="1:4" x14ac:dyDescent="0.2">
      <c r="A19" s="11" t="s">
        <v>71</v>
      </c>
      <c r="B19" s="11">
        <v>440</v>
      </c>
      <c r="C19" s="11">
        <v>440</v>
      </c>
      <c r="D19" s="11">
        <v>1</v>
      </c>
    </row>
    <row r="20" spans="1:4" x14ac:dyDescent="0.2">
      <c r="A20" s="12">
        <v>46059</v>
      </c>
      <c r="B20" s="11">
        <v>440</v>
      </c>
      <c r="C20" s="11">
        <v>440</v>
      </c>
      <c r="D20" s="11">
        <v>1</v>
      </c>
    </row>
    <row r="21" spans="1:4" x14ac:dyDescent="0.2">
      <c r="A21" s="11" t="s">
        <v>51</v>
      </c>
      <c r="B21" s="11">
        <v>440</v>
      </c>
      <c r="C21" s="11">
        <v>440</v>
      </c>
      <c r="D21" s="11">
        <v>1</v>
      </c>
    </row>
    <row r="22" spans="1:4" x14ac:dyDescent="0.2">
      <c r="A22" s="11" t="s">
        <v>72</v>
      </c>
      <c r="B22" s="11">
        <v>280</v>
      </c>
      <c r="C22" s="11">
        <v>280</v>
      </c>
      <c r="D22" s="11">
        <v>1</v>
      </c>
    </row>
    <row r="23" spans="1:4" x14ac:dyDescent="0.2">
      <c r="A23" s="12">
        <v>46060</v>
      </c>
      <c r="B23" s="11">
        <v>280</v>
      </c>
      <c r="C23" s="11">
        <v>280</v>
      </c>
      <c r="D23" s="11">
        <v>1</v>
      </c>
    </row>
    <row r="24" spans="1:4" x14ac:dyDescent="0.2">
      <c r="A24" s="11" t="s">
        <v>51</v>
      </c>
      <c r="B24" s="11">
        <v>280</v>
      </c>
      <c r="C24" s="11">
        <v>280</v>
      </c>
      <c r="D24" s="11">
        <v>1</v>
      </c>
    </row>
    <row r="25" spans="1:4" x14ac:dyDescent="0.2">
      <c r="A25" s="11" t="s">
        <v>73</v>
      </c>
      <c r="B25" s="11">
        <v>550</v>
      </c>
      <c r="C25" s="11">
        <v>550</v>
      </c>
      <c r="D25" s="11">
        <v>1</v>
      </c>
    </row>
    <row r="26" spans="1:4" x14ac:dyDescent="0.2">
      <c r="A26" s="11" t="s">
        <v>74</v>
      </c>
      <c r="B26" s="11">
        <v>550</v>
      </c>
      <c r="C26" s="11">
        <v>550</v>
      </c>
      <c r="D26" s="11">
        <v>1</v>
      </c>
    </row>
    <row r="27" spans="1:4" x14ac:dyDescent="0.2">
      <c r="A27" s="12">
        <v>46144</v>
      </c>
      <c r="B27" s="11">
        <v>550</v>
      </c>
      <c r="C27" s="11">
        <v>550</v>
      </c>
      <c r="D27" s="11">
        <v>1</v>
      </c>
    </row>
    <row r="28" spans="1:4" x14ac:dyDescent="0.2">
      <c r="A28" s="11" t="s">
        <v>51</v>
      </c>
      <c r="B28" s="11">
        <v>550</v>
      </c>
      <c r="C28" s="11">
        <v>550</v>
      </c>
      <c r="D28" s="11">
        <v>1</v>
      </c>
    </row>
    <row r="29" spans="1:4" x14ac:dyDescent="0.2">
      <c r="A29" s="11" t="s">
        <v>62</v>
      </c>
      <c r="B29" s="11">
        <v>2170</v>
      </c>
      <c r="C29" s="11">
        <v>2170</v>
      </c>
      <c r="D29" s="11">
        <v>9</v>
      </c>
    </row>
  </sheetData>
  <pageMargins left="0.7" right="0.7" top="0.75" bottom="0.75" header="0.3" footer="0.3"/>
  <drawing r:id="rId4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BE3AB7-B767-DA40-B31C-46E92DC95F47}">
  <dimension ref="A1:D4"/>
  <sheetViews>
    <sheetView workbookViewId="0">
      <selection activeCell="I34" sqref="I34"/>
    </sheetView>
  </sheetViews>
  <sheetFormatPr baseColWidth="10" defaultRowHeight="16" x14ac:dyDescent="0.2"/>
  <cols>
    <col min="1" max="3" width="10.83203125" customWidth="1"/>
  </cols>
  <sheetData>
    <row r="1" spans="1:4" ht="24" x14ac:dyDescent="0.3">
      <c r="A1" s="13"/>
      <c r="B1" s="13" t="s">
        <v>76</v>
      </c>
      <c r="C1" s="14"/>
      <c r="D1" s="16" t="s">
        <v>80</v>
      </c>
    </row>
    <row r="2" spans="1:4" ht="24" x14ac:dyDescent="0.3">
      <c r="A2" s="14"/>
      <c r="B2" s="15" t="s">
        <v>77</v>
      </c>
      <c r="C2" s="14"/>
      <c r="D2" s="16" t="s">
        <v>81</v>
      </c>
    </row>
    <row r="3" spans="1:4" ht="24" x14ac:dyDescent="0.3">
      <c r="A3" s="14"/>
      <c r="B3" s="15" t="s">
        <v>78</v>
      </c>
      <c r="C3" s="14"/>
      <c r="D3" s="16">
        <v>9</v>
      </c>
    </row>
    <row r="4" spans="1:4" ht="24" x14ac:dyDescent="0.3">
      <c r="A4" s="14"/>
      <c r="B4" s="15" t="s">
        <v>79</v>
      </c>
      <c r="C4" s="14"/>
      <c r="D4" s="17">
        <v>0.1215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order_raw</vt:lpstr>
      <vt:lpstr>product_catalog</vt:lpstr>
      <vt:lpstr>returns_log</vt:lpstr>
      <vt:lpstr>data_quality_log</vt:lpstr>
      <vt:lpstr>calculations</vt:lpstr>
      <vt:lpstr>dashboard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Jovana Safa</dc:creator>
  <cp:lastModifiedBy>Jovana Safa</cp:lastModifiedBy>
  <dcterms:created xsi:type="dcterms:W3CDTF">2026-07-06T21:12:05Z</dcterms:created>
  <dcterms:modified xsi:type="dcterms:W3CDTF">2026-07-07T15:34:57Z</dcterms:modified>
</cp:coreProperties>
</file>